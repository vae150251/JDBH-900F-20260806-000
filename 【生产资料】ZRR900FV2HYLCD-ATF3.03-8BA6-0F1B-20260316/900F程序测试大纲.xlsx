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380" windowHeight="11750"/>
  </bookViews>
  <sheets>
    <sheet name="900F" sheetId="1" r:id="rId1"/>
    <sheet name="Sheet3" sheetId="3" r:id="rId2"/>
    <sheet name="Sheet4" sheetId="4" r:id="rId3"/>
    <sheet name="Sheet5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<sst xmlns="http://schemas.openxmlformats.org/spreadsheetml/2006/main" count="436" uniqueCount="180">
  <si>
    <t>继电保护测试流程表</t>
  </si>
  <si>
    <t>测试问题记录：</t>
  </si>
  <si>
    <t>装置型号：</t>
  </si>
  <si>
    <t>900F线路</t>
  </si>
  <si>
    <t>测试日期：</t>
  </si>
  <si>
    <t>2026.3.12</t>
  </si>
  <si>
    <t>测试人员：</t>
  </si>
  <si>
    <t>李辽</t>
  </si>
  <si>
    <t>1.线路保护通讯动作总信号无法消失（已解决）； 2.测量加6A，装置只能显示5.78A（已解决）；  3.变压器型保护UCA存在零漂（已解决）；   4.电动机型UAB/UCA存在零漂（已解决）</t>
  </si>
  <si>
    <t>软件版本：</t>
  </si>
  <si>
    <t>2026.3.16-ATF3.03-0F1B</t>
  </si>
  <si>
    <t>软件更新内容：</t>
  </si>
  <si>
    <t>解决电压零漂问题</t>
  </si>
  <si>
    <t>硬件更改内容：</t>
  </si>
  <si>
    <t>测试流程：</t>
  </si>
  <si>
    <t>1、保护值零漂：</t>
  </si>
  <si>
    <t>电流=0</t>
  </si>
  <si>
    <t>电压=0</t>
  </si>
  <si>
    <t>电流：</t>
  </si>
  <si>
    <t>■合格   □不合格</t>
  </si>
  <si>
    <t>电压：</t>
  </si>
  <si>
    <t>电流=5</t>
  </si>
  <si>
    <t>电压=57.735</t>
  </si>
  <si>
    <t>2、测量值零漂：</t>
  </si>
  <si>
    <t>有功功率：</t>
  </si>
  <si>
    <t>无功功率：</t>
  </si>
  <si>
    <t>功率因数：</t>
  </si>
  <si>
    <t>频率：</t>
  </si>
  <si>
    <t>3、字符显示：</t>
  </si>
  <si>
    <t>首页显示：</t>
  </si>
  <si>
    <t>主菜单显示：</t>
  </si>
  <si>
    <t>刻度显示：</t>
  </si>
  <si>
    <t>保护值内容：</t>
  </si>
  <si>
    <t>测量值内容：</t>
  </si>
  <si>
    <t>开入显示：</t>
  </si>
  <si>
    <t>开出检测显示：</t>
  </si>
  <si>
    <t>事故追忆：</t>
  </si>
  <si>
    <t>保护定值：</t>
  </si>
  <si>
    <t>压板设置：</t>
  </si>
  <si>
    <t>参数设置：</t>
  </si>
  <si>
    <t>版本信息：</t>
  </si>
  <si>
    <t>4、时钟设置：</t>
  </si>
  <si>
    <t>时钟显示：</t>
  </si>
  <si>
    <t>需对时钟进行正确设置后，并正确保存，再重新上电查看！！</t>
  </si>
  <si>
    <t>5、串口设置：</t>
  </si>
  <si>
    <t>串口设置保存：</t>
  </si>
  <si>
    <t>需对串口设置内参数进行修改，并正确保存，再重新上电查看！！</t>
  </si>
  <si>
    <t>地址修改后，需使用串口调试工具连接装置485接口，发送报文进行测试！！</t>
  </si>
  <si>
    <t>6、网口设置：</t>
  </si>
  <si>
    <t>网口设置保存：</t>
  </si>
  <si>
    <t>需对网口设置内参数进行修改，并正确保存，再重新上电查看！！</t>
  </si>
  <si>
    <t>IP修改后，需使用网线连接对应网口，使用命令提示符进行ping测试！！</t>
  </si>
  <si>
    <t>7、密码修改设置：</t>
  </si>
  <si>
    <t>密码设置保存：</t>
  </si>
  <si>
    <t>需对网口设置内参数进行修改，并正确保存，再重新上电检查是否为新密码设置！！</t>
  </si>
  <si>
    <t>8、对比度设置：</t>
  </si>
  <si>
    <t>对比度设置保存：</t>
  </si>
  <si>
    <t>需对对比度参数进行修改，并正确保存，再重新上电检查液晶对比度是否有变化！！</t>
  </si>
  <si>
    <t>9、指示灯显示：</t>
  </si>
  <si>
    <t>指示灯显示</t>
  </si>
  <si>
    <t>在装置上电时，装置6个指示灯会依次按顺序点亮，需观察是否全部点亮！！</t>
  </si>
  <si>
    <t>10、按键功能：</t>
  </si>
  <si>
    <t>按键功能</t>
  </si>
  <si>
    <t>对装置6个按键所设置功能，分别测试是否正常！</t>
  </si>
  <si>
    <r>
      <rPr>
        <b/>
        <sz val="11"/>
        <color theme="1"/>
        <rFont val="宋体"/>
        <charset val="134"/>
        <scheme val="minor"/>
      </rPr>
      <t>11、保护值精度：</t>
    </r>
    <r>
      <rPr>
        <b/>
        <sz val="11"/>
        <color rgb="FFFF0000"/>
        <rFont val="宋体"/>
        <charset val="134"/>
        <scheme val="minor"/>
      </rPr>
      <t>（精度测试前需对保护电流、电压进行校准，电流1A，相序0、-120、120，电压57.735，相序0、-120、120）</t>
    </r>
  </si>
  <si>
    <t>点名</t>
  </si>
  <si>
    <t>额定值</t>
  </si>
  <si>
    <t>实际值</t>
  </si>
  <si>
    <t>精度</t>
  </si>
  <si>
    <t>标准（%）</t>
  </si>
  <si>
    <t>结果</t>
  </si>
  <si>
    <t>IA</t>
  </si>
  <si>
    <t>最小0.1A</t>
  </si>
  <si>
    <t>IB</t>
  </si>
  <si>
    <t>IC</t>
  </si>
  <si>
    <t>3I0</t>
  </si>
  <si>
    <t>最小0.06A</t>
  </si>
  <si>
    <t>UA</t>
  </si>
  <si>
    <t>最小1.2V</t>
  </si>
  <si>
    <t>UB</t>
  </si>
  <si>
    <t>UC</t>
  </si>
  <si>
    <t>UAB</t>
  </si>
  <si>
    <t>UBC</t>
  </si>
  <si>
    <t>UCA</t>
  </si>
  <si>
    <t>F</t>
  </si>
  <si>
    <r>
      <rPr>
        <b/>
        <sz val="11"/>
        <color theme="1"/>
        <rFont val="宋体"/>
        <charset val="134"/>
        <scheme val="minor"/>
      </rPr>
      <t>12、测量值精度：</t>
    </r>
    <r>
      <rPr>
        <b/>
        <sz val="11"/>
        <color rgb="FFFF0000"/>
        <rFont val="宋体"/>
        <charset val="134"/>
        <scheme val="minor"/>
      </rPr>
      <t>（精度测试前需对保护电流、电压进行校准，电流1A，相序-45、-165、75，电压57.735，相序0、-120、120）</t>
    </r>
  </si>
  <si>
    <t>最小0.03A</t>
  </si>
  <si>
    <t>最小0.3V</t>
  </si>
  <si>
    <t>P</t>
  </si>
  <si>
    <t>Q</t>
  </si>
  <si>
    <t>COS</t>
  </si>
  <si>
    <t>13、出口功能：（使用出口检测功能，逐一对每个出口进行分合检测）</t>
  </si>
  <si>
    <t>保护跳闸</t>
  </si>
  <si>
    <t>保护合闸</t>
  </si>
  <si>
    <t>告警出口</t>
  </si>
  <si>
    <t>动作出口</t>
  </si>
  <si>
    <t>背光控制</t>
  </si>
  <si>
    <t>遥控合闸</t>
  </si>
  <si>
    <t>遥控跳闸</t>
  </si>
  <si>
    <t>备用出口1：</t>
  </si>
  <si>
    <t>备用出口2：</t>
  </si>
  <si>
    <t>□合格   □不合格</t>
  </si>
  <si>
    <t>14、开入功能：（开入公共端接入N/-KM电源，使用L/+KM逐一对每个开入进行测试，开入显示内查看闭合状态）</t>
  </si>
  <si>
    <t>开入1：</t>
  </si>
  <si>
    <t>开入2：</t>
  </si>
  <si>
    <t>开入3：</t>
  </si>
  <si>
    <t>开入4：</t>
  </si>
  <si>
    <t>开入5：</t>
  </si>
  <si>
    <t>开入6：</t>
  </si>
  <si>
    <t>开入7：</t>
  </si>
  <si>
    <t>开入8：</t>
  </si>
  <si>
    <t>开入9：</t>
  </si>
  <si>
    <t>开入10：</t>
  </si>
  <si>
    <t>开入11：</t>
  </si>
  <si>
    <t>开入12：</t>
  </si>
  <si>
    <t>15、操作回路：（操作电源+KM接正电源）</t>
  </si>
  <si>
    <t>至HWJ接负电源，合位灯点亮</t>
  </si>
  <si>
    <t>至TWJ接负电源，跳位灯点亮</t>
  </si>
  <si>
    <t>16、保护功能测试：按装置定值内容逐一项进行测试，每项功能测试至少设定3组不通定值进行！</t>
  </si>
  <si>
    <t>PT断线功能：</t>
  </si>
  <si>
    <t>控回断线功能：</t>
  </si>
  <si>
    <t>CT变比设置：</t>
  </si>
  <si>
    <t>无效</t>
  </si>
  <si>
    <t>PT一次值设置：</t>
  </si>
  <si>
    <t>跳合位源功能：</t>
  </si>
  <si>
    <t>相间过流I段</t>
  </si>
  <si>
    <t>定值1：</t>
  </si>
  <si>
    <t>定值2：</t>
  </si>
  <si>
    <t>相间过流II段</t>
  </si>
  <si>
    <t>相间过流III段</t>
  </si>
  <si>
    <t>反时限过流一般</t>
  </si>
  <si>
    <t>反时限过流非常</t>
  </si>
  <si>
    <t>反时限过流极端</t>
  </si>
  <si>
    <t>过负荷保护跳闸</t>
  </si>
  <si>
    <t>过负荷保护告警</t>
  </si>
  <si>
    <t>重合闸</t>
  </si>
  <si>
    <t>加速段</t>
  </si>
  <si>
    <t>充电保护</t>
  </si>
  <si>
    <t>零流I段跳闸</t>
  </si>
  <si>
    <t>零流I段告警</t>
  </si>
  <si>
    <t>零流II段跳闸</t>
  </si>
  <si>
    <t>零流II段告警</t>
  </si>
  <si>
    <t>过电压保护跳闸</t>
  </si>
  <si>
    <t>过电压保护告警</t>
  </si>
  <si>
    <t>低电压保护跳闸</t>
  </si>
  <si>
    <t>低电压保护告警</t>
  </si>
  <si>
    <t>失电压保护跳闸</t>
  </si>
  <si>
    <t>低频跳闸</t>
  </si>
  <si>
    <t>低频告警</t>
  </si>
  <si>
    <t>高侧零序电流</t>
  </si>
  <si>
    <t>重瓦斯</t>
  </si>
  <si>
    <t>轻瓦斯</t>
  </si>
  <si>
    <t>超高温</t>
  </si>
  <si>
    <t>温度高</t>
  </si>
  <si>
    <t>负序过流</t>
  </si>
  <si>
    <t>长启动保护</t>
  </si>
  <si>
    <t>堵转保护</t>
  </si>
  <si>
    <t>本体1</t>
  </si>
  <si>
    <t>本体2</t>
  </si>
  <si>
    <t>本体3</t>
  </si>
  <si>
    <t>17、网口MAC地址测试，修改不通IP地址，使用大鲨鱼抓MAC地址报文查看，MAC地址转换为10进制后与IP地址相同！</t>
  </si>
  <si>
    <t>IP地址1</t>
  </si>
  <si>
    <t>无此功能</t>
  </si>
  <si>
    <t>IP地址2</t>
  </si>
  <si>
    <t>18、后台通讯功能测试，需使用对应规约与后台通讯确认三遥数据正常！</t>
  </si>
  <si>
    <t>以太网103规约</t>
  </si>
  <si>
    <t>串口485规约：</t>
  </si>
  <si>
    <t>以太网104规约</t>
  </si>
  <si>
    <t>19、软件在线升级功能，使用网口以及串口方式对装置进行在线升级，确认升级成功！</t>
  </si>
  <si>
    <t>串口升级：</t>
  </si>
  <si>
    <t>网口升级：</t>
  </si>
  <si>
    <r>
      <rPr>
        <b/>
        <sz val="11"/>
        <color theme="1"/>
        <rFont val="宋体"/>
        <charset val="134"/>
        <scheme val="minor"/>
      </rPr>
      <t>20、保护动作时间及动作精度测试：</t>
    </r>
    <r>
      <rPr>
        <b/>
        <sz val="9"/>
        <color rgb="FFFF0000"/>
        <rFont val="宋体"/>
        <charset val="134"/>
        <scheme val="minor"/>
      </rPr>
      <t>动作时间按额定电流1.2倍进行测试，分别测试0S及1S延时时间，动作精度分别按额定电流0.95倍可靠不动作，1.05倍可靠动作测试！</t>
    </r>
  </si>
  <si>
    <t>电流定值</t>
  </si>
  <si>
    <t>延时定值</t>
  </si>
  <si>
    <t>实际动作时间</t>
  </si>
  <si>
    <t>时间标准</t>
  </si>
  <si>
    <t>0.95倍In；</t>
  </si>
  <si>
    <t>□动作   ■不动作</t>
  </si>
  <si>
    <t>1.05In</t>
  </si>
  <si>
    <t>■动作   □不动作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</si>
</sst>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2"/>
      <name val="宋体"/>
      <charset val="134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color rgb="FFFF0000"/>
      <name val="宋体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3" tint="0.6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0" xfId="0" applyFill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4" fillId="3" borderId="1" xfId="0" applyFont="1" applyFill="1" applyBorder="1" applyAlignment="1">
      <alignment vertical="center"/>
    </xf>
    <xf numFmtId="0" fontId="4" fillId="3" borderId="1" xfId="0" applyNumberFormat="1" applyFont="1" applyFill="1" applyBorder="1" applyAlignment="1" applyProtection="1">
      <alignment vertical="center"/>
    </xf>
    <xf numFmtId="176" fontId="4" fillId="3" borderId="1" xfId="0" applyNumberFormat="1" applyFont="1" applyFill="1" applyBorder="1" applyAlignment="1">
      <alignment vertical="center"/>
    </xf>
    <xf numFmtId="0" fontId="2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4" fillId="0" borderId="1" xfId="0" applyFont="1" applyFill="1" applyBorder="1" applyAlignment="1">
      <alignment vertical="center"/>
    </xf>
    <xf numFmtId="0" fontId="4" fillId="0" borderId="1" xfId="0" applyNumberFormat="1" applyFont="1" applyFill="1" applyBorder="1" applyAlignment="1" applyProtection="1">
      <alignment vertical="center"/>
    </xf>
    <xf numFmtId="176" fontId="4" fillId="0" borderId="1" xfId="0" applyNumberFormat="1" applyFont="1" applyFill="1" applyBorder="1" applyAlignment="1">
      <alignment vertical="center"/>
    </xf>
    <xf numFmtId="9" fontId="4" fillId="0" borderId="1" xfId="0" applyNumberFormat="1" applyFont="1" applyFill="1" applyBorder="1" applyAlignment="1">
      <alignment vertical="center"/>
    </xf>
    <xf numFmtId="0" fontId="2" fillId="3" borderId="0" xfId="0" applyFont="1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3" borderId="0" xfId="0" applyFill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>
      <alignment vertical="center"/>
    </xf>
    <xf numFmtId="0" fontId="0" fillId="0" borderId="1" xfId="0" applyFill="1" applyBorder="1">
      <alignment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/>
    </xf>
    <xf numFmtId="0" fontId="0" fillId="4" borderId="1" xfId="0" applyFont="1" applyFill="1" applyBorder="1" applyAlignment="1">
      <alignment horizontal="left" vertical="center"/>
    </xf>
    <xf numFmtId="0" fontId="0" fillId="5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25400</xdr:colOff>
      <xdr:row>136</xdr:row>
      <xdr:rowOff>127000</xdr:rowOff>
    </xdr:from>
    <xdr:to>
      <xdr:col>6</xdr:col>
      <xdr:colOff>593725</xdr:colOff>
      <xdr:row>143</xdr:row>
      <xdr:rowOff>339725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400" y="47955200"/>
          <a:ext cx="7356475" cy="2613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16510</xdr:colOff>
      <xdr:row>131</xdr:row>
      <xdr:rowOff>104775</xdr:rowOff>
    </xdr:from>
    <xdr:to>
      <xdr:col>14</xdr:col>
      <xdr:colOff>158750</xdr:colOff>
      <xdr:row>134</xdr:row>
      <xdr:rowOff>266700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04660" y="45989875"/>
          <a:ext cx="5171440" cy="14192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6"/>
  <sheetViews>
    <sheetView tabSelected="1" workbookViewId="0">
      <selection activeCell="I24" sqref="I24"/>
    </sheetView>
  </sheetViews>
  <sheetFormatPr defaultColWidth="9" defaultRowHeight="27" customHeight="1"/>
  <cols>
    <col min="1" max="1" width="13.5454545454545" customWidth="1"/>
    <col min="2" max="2" width="18.3636363636364" customWidth="1"/>
    <col min="3" max="3" width="13.9090909090909" customWidth="1"/>
    <col min="4" max="4" width="17.8181818181818" customWidth="1"/>
    <col min="5" max="5" width="13.9090909090909" customWidth="1"/>
    <col min="6" max="6" width="19.6363636363636" customWidth="1"/>
  </cols>
  <sheetData>
    <row r="1" customHeight="1" spans="1:15">
      <c r="A1" s="1" t="s">
        <v>0</v>
      </c>
      <c r="B1" s="1"/>
      <c r="C1" s="1"/>
      <c r="D1" s="1"/>
      <c r="E1" s="1"/>
      <c r="F1" s="1"/>
      <c r="H1" s="2" t="s">
        <v>1</v>
      </c>
      <c r="I1" s="2"/>
      <c r="J1" s="2"/>
      <c r="K1" s="2"/>
      <c r="L1" s="2"/>
      <c r="M1" s="2"/>
      <c r="N1" s="2"/>
      <c r="O1" s="2"/>
    </row>
    <row r="2" customHeight="1" spans="1:15">
      <c r="A2" s="26" t="s">
        <v>2</v>
      </c>
      <c r="B2" s="26" t="s">
        <v>3</v>
      </c>
      <c r="C2" s="26" t="s">
        <v>4</v>
      </c>
      <c r="D2" s="26" t="s">
        <v>5</v>
      </c>
      <c r="E2" s="26" t="s">
        <v>6</v>
      </c>
      <c r="F2" s="26" t="s">
        <v>7</v>
      </c>
      <c r="H2" s="3" t="s">
        <v>8</v>
      </c>
      <c r="I2" s="3"/>
      <c r="J2" s="3"/>
      <c r="K2" s="3"/>
      <c r="L2" s="3"/>
      <c r="M2" s="3"/>
      <c r="N2" s="3"/>
      <c r="O2" s="3"/>
    </row>
    <row r="3" ht="42" customHeight="1" spans="1:15">
      <c r="A3" s="27" t="s">
        <v>9</v>
      </c>
      <c r="B3" s="27" t="s">
        <v>10</v>
      </c>
      <c r="C3" s="27"/>
      <c r="D3" s="27"/>
      <c r="E3" s="27"/>
      <c r="F3" s="27"/>
      <c r="H3" s="3"/>
      <c r="I3" s="3"/>
      <c r="J3" s="3"/>
      <c r="K3" s="3"/>
      <c r="L3" s="3"/>
      <c r="M3" s="3"/>
      <c r="N3" s="3"/>
      <c r="O3" s="3"/>
    </row>
    <row r="4" ht="42" customHeight="1" spans="1:15">
      <c r="A4" s="27" t="s">
        <v>11</v>
      </c>
      <c r="B4" s="27" t="s">
        <v>12</v>
      </c>
      <c r="C4" s="27"/>
      <c r="D4" s="27"/>
      <c r="E4" s="27"/>
      <c r="F4" s="27"/>
      <c r="H4" s="3"/>
      <c r="I4" s="3"/>
      <c r="J4" s="3"/>
      <c r="K4" s="3"/>
      <c r="L4" s="3"/>
      <c r="M4" s="3"/>
      <c r="N4" s="3"/>
      <c r="O4" s="3"/>
    </row>
    <row r="5" ht="42" customHeight="1" spans="1:15">
      <c r="A5" s="27"/>
      <c r="B5" s="27"/>
      <c r="C5" s="27"/>
      <c r="D5" s="27"/>
      <c r="E5" s="27"/>
      <c r="F5" s="27"/>
      <c r="H5" s="3"/>
      <c r="I5" s="3"/>
      <c r="J5" s="3"/>
      <c r="K5" s="3"/>
      <c r="L5" s="3"/>
      <c r="M5" s="3"/>
      <c r="N5" s="3"/>
      <c r="O5" s="3"/>
    </row>
    <row r="6" ht="42" customHeight="1" spans="1:15">
      <c r="A6" s="27" t="s">
        <v>13</v>
      </c>
      <c r="B6" s="27"/>
      <c r="C6" s="27"/>
      <c r="D6" s="27"/>
      <c r="E6" s="27"/>
      <c r="F6" s="27"/>
      <c r="H6" s="3"/>
      <c r="I6" s="3"/>
      <c r="J6" s="3"/>
      <c r="K6" s="3"/>
      <c r="L6" s="3"/>
      <c r="M6" s="3"/>
      <c r="N6" s="3"/>
      <c r="O6" s="3"/>
    </row>
    <row r="7" ht="42" customHeight="1" spans="1:15">
      <c r="A7" s="27"/>
      <c r="B7" s="27"/>
      <c r="C7" s="27"/>
      <c r="D7" s="27"/>
      <c r="E7" s="27"/>
      <c r="F7" s="27"/>
      <c r="H7" s="3"/>
      <c r="I7" s="3"/>
      <c r="J7" s="3"/>
      <c r="K7" s="3"/>
      <c r="L7" s="3"/>
      <c r="M7" s="3"/>
      <c r="N7" s="3"/>
      <c r="O7" s="3"/>
    </row>
    <row r="8" customHeight="1" spans="1:15">
      <c r="A8" s="28" t="s">
        <v>14</v>
      </c>
      <c r="B8" s="28"/>
      <c r="C8" s="28"/>
      <c r="D8" s="28"/>
      <c r="E8" s="28"/>
      <c r="F8" s="28"/>
      <c r="H8" s="3"/>
      <c r="I8" s="3"/>
      <c r="J8" s="3"/>
      <c r="K8" s="3"/>
      <c r="L8" s="3"/>
      <c r="M8" s="3"/>
      <c r="N8" s="3"/>
      <c r="O8" s="3"/>
    </row>
    <row r="9" customHeight="1" spans="1:15">
      <c r="A9" s="29" t="s">
        <v>15</v>
      </c>
      <c r="B9" s="29"/>
      <c r="C9" s="29"/>
      <c r="D9" s="29"/>
      <c r="E9" s="29"/>
      <c r="F9" s="29"/>
      <c r="H9" s="3"/>
      <c r="I9" s="3"/>
      <c r="J9" s="3"/>
      <c r="K9" s="3"/>
      <c r="L9" s="3"/>
      <c r="M9" s="3"/>
      <c r="N9" s="3"/>
      <c r="O9" s="3"/>
    </row>
    <row r="10" customHeight="1" spans="1:15">
      <c r="A10" s="30" t="s">
        <v>16</v>
      </c>
      <c r="B10" s="30" t="s">
        <v>17</v>
      </c>
      <c r="C10" s="31" t="s">
        <v>18</v>
      </c>
      <c r="D10" s="32" t="s">
        <v>19</v>
      </c>
      <c r="E10" s="31" t="s">
        <v>20</v>
      </c>
      <c r="F10" s="32" t="s">
        <v>19</v>
      </c>
      <c r="H10" s="3"/>
      <c r="I10" s="3"/>
      <c r="J10" s="3"/>
      <c r="K10" s="3"/>
      <c r="L10" s="3"/>
      <c r="M10" s="3"/>
      <c r="N10" s="3"/>
      <c r="O10" s="3"/>
    </row>
    <row r="11" customHeight="1" spans="1:15">
      <c r="A11" s="30" t="s">
        <v>21</v>
      </c>
      <c r="B11" s="30" t="s">
        <v>17</v>
      </c>
      <c r="C11" s="31" t="s">
        <v>18</v>
      </c>
      <c r="D11" s="32" t="s">
        <v>19</v>
      </c>
      <c r="E11" s="31" t="s">
        <v>20</v>
      </c>
      <c r="F11" s="32" t="s">
        <v>19</v>
      </c>
      <c r="H11" s="3"/>
      <c r="I11" s="3"/>
      <c r="J11" s="3"/>
      <c r="K11" s="3"/>
      <c r="L11" s="3"/>
      <c r="M11" s="3"/>
      <c r="N11" s="3"/>
      <c r="O11" s="3"/>
    </row>
    <row r="12" customHeight="1" spans="1:15">
      <c r="A12" s="30" t="s">
        <v>16</v>
      </c>
      <c r="B12" s="30" t="s">
        <v>22</v>
      </c>
      <c r="C12" s="31" t="s">
        <v>18</v>
      </c>
      <c r="D12" s="32" t="s">
        <v>19</v>
      </c>
      <c r="E12" s="31" t="s">
        <v>20</v>
      </c>
      <c r="F12" s="32" t="s">
        <v>19</v>
      </c>
      <c r="H12" s="3"/>
      <c r="I12" s="3"/>
      <c r="J12" s="3"/>
      <c r="K12" s="3"/>
      <c r="L12" s="3"/>
      <c r="M12" s="3"/>
      <c r="N12" s="3"/>
      <c r="O12" s="3"/>
    </row>
    <row r="13" customHeight="1" spans="1:15">
      <c r="A13" s="28" t="s">
        <v>23</v>
      </c>
      <c r="B13" s="28"/>
      <c r="C13" s="28"/>
      <c r="D13" s="28"/>
      <c r="E13" s="28"/>
      <c r="F13" s="28"/>
      <c r="H13" s="3"/>
      <c r="I13" s="3"/>
      <c r="J13" s="3"/>
      <c r="K13" s="3"/>
      <c r="L13" s="3"/>
      <c r="M13" s="3"/>
      <c r="N13" s="3"/>
      <c r="O13" s="3"/>
    </row>
    <row r="14" customHeight="1" spans="1:15">
      <c r="A14" s="33" t="s">
        <v>16</v>
      </c>
      <c r="B14" s="33" t="s">
        <v>17</v>
      </c>
      <c r="C14" s="31" t="s">
        <v>18</v>
      </c>
      <c r="D14" s="26" t="s">
        <v>19</v>
      </c>
      <c r="E14" s="31" t="s">
        <v>20</v>
      </c>
      <c r="F14" s="26" t="s">
        <v>19</v>
      </c>
      <c r="H14" s="3"/>
      <c r="I14" s="3"/>
      <c r="J14" s="3"/>
      <c r="K14" s="3"/>
      <c r="L14" s="3"/>
      <c r="M14" s="3"/>
      <c r="N14" s="3"/>
      <c r="O14" s="3"/>
    </row>
    <row r="15" customHeight="1" spans="1:15">
      <c r="A15" s="33"/>
      <c r="B15" s="33"/>
      <c r="C15" s="31" t="s">
        <v>24</v>
      </c>
      <c r="D15" s="26" t="s">
        <v>19</v>
      </c>
      <c r="E15" s="31" t="s">
        <v>25</v>
      </c>
      <c r="F15" s="26" t="s">
        <v>19</v>
      </c>
      <c r="H15" s="3"/>
      <c r="I15" s="3"/>
      <c r="J15" s="3"/>
      <c r="K15" s="3"/>
      <c r="L15" s="3"/>
      <c r="M15" s="3"/>
      <c r="N15" s="3"/>
      <c r="O15" s="3"/>
    </row>
    <row r="16" customHeight="1" spans="1:15">
      <c r="A16" s="33"/>
      <c r="B16" s="33"/>
      <c r="C16" s="31" t="s">
        <v>26</v>
      </c>
      <c r="D16" s="26" t="s">
        <v>19</v>
      </c>
      <c r="E16" s="31" t="s">
        <v>27</v>
      </c>
      <c r="F16" s="26" t="s">
        <v>19</v>
      </c>
    </row>
    <row r="17" customHeight="1" spans="1:6">
      <c r="A17" s="33" t="s">
        <v>16</v>
      </c>
      <c r="B17" s="33" t="s">
        <v>22</v>
      </c>
      <c r="C17" s="31" t="s">
        <v>18</v>
      </c>
      <c r="D17" s="26" t="s">
        <v>19</v>
      </c>
      <c r="E17" s="31" t="s">
        <v>20</v>
      </c>
      <c r="F17" s="26" t="s">
        <v>19</v>
      </c>
    </row>
    <row r="18" customHeight="1" spans="1:6">
      <c r="A18" s="33"/>
      <c r="B18" s="33"/>
      <c r="C18" s="31" t="s">
        <v>24</v>
      </c>
      <c r="D18" s="26" t="s">
        <v>19</v>
      </c>
      <c r="E18" s="31" t="s">
        <v>25</v>
      </c>
      <c r="F18" s="26" t="s">
        <v>19</v>
      </c>
    </row>
    <row r="19" customHeight="1" spans="1:6">
      <c r="A19" s="33"/>
      <c r="B19" s="33"/>
      <c r="C19" s="31" t="s">
        <v>26</v>
      </c>
      <c r="D19" s="26" t="s">
        <v>19</v>
      </c>
      <c r="E19" s="31" t="s">
        <v>27</v>
      </c>
      <c r="F19" s="26" t="s">
        <v>19</v>
      </c>
    </row>
    <row r="20" customHeight="1" spans="1:6">
      <c r="A20" s="33" t="s">
        <v>21</v>
      </c>
      <c r="B20" s="33" t="s">
        <v>17</v>
      </c>
      <c r="C20" s="31" t="s">
        <v>18</v>
      </c>
      <c r="D20" s="26" t="s">
        <v>19</v>
      </c>
      <c r="E20" s="31" t="s">
        <v>20</v>
      </c>
      <c r="F20" s="26" t="s">
        <v>19</v>
      </c>
    </row>
    <row r="21" customHeight="1" spans="1:6">
      <c r="A21" s="33"/>
      <c r="B21" s="33"/>
      <c r="C21" s="31" t="s">
        <v>24</v>
      </c>
      <c r="D21" s="26" t="s">
        <v>19</v>
      </c>
      <c r="E21" s="31" t="s">
        <v>25</v>
      </c>
      <c r="F21" s="26" t="s">
        <v>19</v>
      </c>
    </row>
    <row r="22" customHeight="1" spans="1:6">
      <c r="A22" s="33"/>
      <c r="B22" s="33"/>
      <c r="C22" s="31" t="s">
        <v>26</v>
      </c>
      <c r="D22" s="26" t="s">
        <v>19</v>
      </c>
      <c r="E22" s="31" t="s">
        <v>27</v>
      </c>
      <c r="F22" s="26" t="s">
        <v>19</v>
      </c>
    </row>
    <row r="23" customHeight="1" spans="1:6">
      <c r="A23" s="28" t="s">
        <v>28</v>
      </c>
      <c r="B23" s="28"/>
      <c r="C23" s="28"/>
      <c r="D23" s="28"/>
      <c r="E23" s="28"/>
      <c r="F23" s="28"/>
    </row>
    <row r="24" customHeight="1" spans="1:6">
      <c r="A24" s="34" t="s">
        <v>29</v>
      </c>
      <c r="B24" s="26" t="s">
        <v>19</v>
      </c>
      <c r="C24" s="34" t="s">
        <v>30</v>
      </c>
      <c r="D24" s="26" t="s">
        <v>19</v>
      </c>
      <c r="E24" s="34" t="s">
        <v>31</v>
      </c>
      <c r="F24" s="26" t="s">
        <v>19</v>
      </c>
    </row>
    <row r="25" customHeight="1" spans="1:6">
      <c r="A25" s="34" t="s">
        <v>32</v>
      </c>
      <c r="B25" s="26" t="s">
        <v>19</v>
      </c>
      <c r="C25" s="34" t="s">
        <v>33</v>
      </c>
      <c r="D25" s="26" t="s">
        <v>19</v>
      </c>
      <c r="E25" s="34" t="s">
        <v>34</v>
      </c>
      <c r="F25" s="26" t="s">
        <v>19</v>
      </c>
    </row>
    <row r="26" customHeight="1" spans="1:6">
      <c r="A26" s="34" t="s">
        <v>35</v>
      </c>
      <c r="B26" s="26" t="s">
        <v>19</v>
      </c>
      <c r="C26" s="34" t="s">
        <v>36</v>
      </c>
      <c r="D26" s="26" t="s">
        <v>19</v>
      </c>
      <c r="E26" s="34" t="s">
        <v>37</v>
      </c>
      <c r="F26" s="26" t="s">
        <v>19</v>
      </c>
    </row>
    <row r="27" customHeight="1" spans="1:6">
      <c r="A27" s="34" t="s">
        <v>38</v>
      </c>
      <c r="B27" s="26" t="s">
        <v>19</v>
      </c>
      <c r="C27" s="34" t="s">
        <v>39</v>
      </c>
      <c r="D27" s="26" t="s">
        <v>19</v>
      </c>
      <c r="E27" s="34" t="s">
        <v>40</v>
      </c>
      <c r="F27" s="26" t="s">
        <v>19</v>
      </c>
    </row>
    <row r="28" customHeight="1" spans="1:6">
      <c r="A28" s="28" t="s">
        <v>41</v>
      </c>
      <c r="B28" s="28"/>
      <c r="C28" s="28"/>
      <c r="D28" s="28"/>
      <c r="E28" s="28"/>
      <c r="F28" s="28"/>
    </row>
    <row r="29" customHeight="1" spans="1:6">
      <c r="A29" s="34" t="s">
        <v>42</v>
      </c>
      <c r="B29" s="26" t="s">
        <v>19</v>
      </c>
      <c r="C29" s="35" t="s">
        <v>43</v>
      </c>
      <c r="D29" s="35"/>
      <c r="E29" s="35"/>
      <c r="F29" s="35"/>
    </row>
    <row r="30" customHeight="1" spans="1:6">
      <c r="A30" s="28" t="s">
        <v>44</v>
      </c>
      <c r="B30" s="28"/>
      <c r="C30" s="28"/>
      <c r="D30" s="28"/>
      <c r="E30" s="28"/>
      <c r="F30" s="28"/>
    </row>
    <row r="31" customHeight="1" spans="1:6">
      <c r="A31" s="34" t="s">
        <v>45</v>
      </c>
      <c r="B31" s="26" t="s">
        <v>19</v>
      </c>
      <c r="C31" s="35" t="s">
        <v>46</v>
      </c>
      <c r="D31" s="35"/>
      <c r="E31" s="35"/>
      <c r="F31" s="35"/>
    </row>
    <row r="32" customHeight="1" spans="1:6">
      <c r="A32" s="2" t="s">
        <v>47</v>
      </c>
      <c r="B32" s="2"/>
      <c r="C32" s="2"/>
      <c r="D32" s="2"/>
      <c r="E32" s="2"/>
      <c r="F32" s="26" t="s">
        <v>19</v>
      </c>
    </row>
    <row r="33" customHeight="1" spans="1:7">
      <c r="A33" s="29" t="s">
        <v>48</v>
      </c>
      <c r="B33" s="29"/>
      <c r="C33" s="29"/>
      <c r="D33" s="29"/>
      <c r="E33" s="29"/>
      <c r="F33" s="29"/>
    </row>
    <row r="34" customHeight="1" spans="1:7">
      <c r="A34" s="34" t="s">
        <v>49</v>
      </c>
      <c r="B34" s="26" t="s">
        <v>19</v>
      </c>
      <c r="C34" s="36" t="s">
        <v>50</v>
      </c>
      <c r="D34" s="36"/>
      <c r="E34" s="36"/>
      <c r="F34" s="36"/>
    </row>
    <row r="35" customHeight="1" spans="1:7">
      <c r="A35" s="37" t="s">
        <v>51</v>
      </c>
      <c r="B35" s="37"/>
      <c r="C35" s="37"/>
      <c r="D35" s="37"/>
      <c r="E35" s="37"/>
      <c r="F35" s="26" t="s">
        <v>19</v>
      </c>
    </row>
    <row r="36" customHeight="1" spans="1:7">
      <c r="A36" s="28" t="s">
        <v>52</v>
      </c>
      <c r="B36" s="28"/>
      <c r="C36" s="28"/>
      <c r="D36" s="28"/>
      <c r="E36" s="28"/>
      <c r="F36" s="28"/>
    </row>
    <row r="37" customHeight="1" spans="1:7">
      <c r="A37" s="34" t="s">
        <v>53</v>
      </c>
      <c r="B37" s="26" t="s">
        <v>19</v>
      </c>
      <c r="C37" s="35" t="s">
        <v>54</v>
      </c>
      <c r="D37" s="35"/>
      <c r="E37" s="35"/>
      <c r="F37" s="35"/>
    </row>
    <row r="38" customHeight="1" spans="1:7">
      <c r="A38" s="29" t="s">
        <v>55</v>
      </c>
      <c r="B38" s="29"/>
      <c r="C38" s="29"/>
      <c r="D38" s="29"/>
      <c r="E38" s="29"/>
      <c r="F38" s="29"/>
    </row>
    <row r="39" customHeight="1" spans="1:7">
      <c r="A39" s="34" t="s">
        <v>56</v>
      </c>
      <c r="B39" s="32" t="s">
        <v>19</v>
      </c>
      <c r="C39" s="36" t="s">
        <v>57</v>
      </c>
      <c r="D39" s="36"/>
      <c r="E39" s="36"/>
      <c r="F39" s="36"/>
    </row>
    <row r="40" customHeight="1" spans="1:7">
      <c r="A40" s="28" t="s">
        <v>58</v>
      </c>
      <c r="B40" s="28"/>
      <c r="C40" s="28"/>
      <c r="D40" s="28"/>
      <c r="E40" s="28"/>
      <c r="F40" s="28"/>
    </row>
    <row r="41" customHeight="1" spans="1:7">
      <c r="A41" s="34" t="s">
        <v>59</v>
      </c>
      <c r="B41" s="26" t="s">
        <v>19</v>
      </c>
      <c r="C41" s="35" t="s">
        <v>60</v>
      </c>
      <c r="D41" s="35"/>
      <c r="E41" s="35"/>
      <c r="F41" s="35"/>
    </row>
    <row r="42" customHeight="1" spans="1:7">
      <c r="A42" s="28" t="s">
        <v>61</v>
      </c>
      <c r="B42" s="28"/>
      <c r="C42" s="28"/>
      <c r="D42" s="28"/>
      <c r="E42" s="28"/>
      <c r="F42" s="28"/>
    </row>
    <row r="43" customHeight="1" spans="1:7">
      <c r="A43" s="34" t="s">
        <v>62</v>
      </c>
      <c r="B43" s="26" t="s">
        <v>19</v>
      </c>
      <c r="C43" s="35" t="s">
        <v>63</v>
      </c>
      <c r="D43" s="35"/>
      <c r="E43" s="35"/>
      <c r="F43" s="35"/>
    </row>
    <row r="44" ht="28" customHeight="1" spans="1:7">
      <c r="A44" s="38" t="s">
        <v>64</v>
      </c>
      <c r="B44" s="38"/>
      <c r="C44" s="38"/>
      <c r="D44" s="38"/>
      <c r="E44" s="38"/>
      <c r="F44" s="38"/>
    </row>
    <row r="45" customHeight="1" spans="1:7">
      <c r="A45" s="19" t="s">
        <v>65</v>
      </c>
      <c r="B45" s="19" t="s">
        <v>66</v>
      </c>
      <c r="C45" s="19" t="s">
        <v>67</v>
      </c>
      <c r="D45" s="19" t="s">
        <v>68</v>
      </c>
      <c r="E45" s="19" t="s">
        <v>69</v>
      </c>
      <c r="F45" s="19" t="s">
        <v>70</v>
      </c>
    </row>
    <row r="46" customHeight="1" spans="1:7">
      <c r="A46" s="39" t="s">
        <v>71</v>
      </c>
      <c r="B46" s="19">
        <v>5</v>
      </c>
      <c r="C46" s="19">
        <v>5.01</v>
      </c>
      <c r="D46" s="19">
        <f t="shared" ref="D46:D56" si="0">((C46-B46)/B46)*100</f>
        <v>0.199999999999996</v>
      </c>
      <c r="E46" s="20">
        <v>5</v>
      </c>
      <c r="F46" s="19" t="str">
        <f t="shared" ref="F46:F58" si="1">IF(ABS(D46)&lt;E46,"合格","不合格")</f>
        <v>合格</v>
      </c>
      <c r="G46" t="s">
        <v>72</v>
      </c>
    </row>
    <row r="47" customHeight="1" spans="1:7">
      <c r="A47" s="39" t="s">
        <v>73</v>
      </c>
      <c r="B47" s="19">
        <v>5</v>
      </c>
      <c r="C47" s="19">
        <v>5.01</v>
      </c>
      <c r="D47" s="19">
        <f t="shared" si="0"/>
        <v>0.199999999999996</v>
      </c>
      <c r="E47" s="20">
        <v>5</v>
      </c>
      <c r="F47" s="19" t="str">
        <f t="shared" si="1"/>
        <v>合格</v>
      </c>
    </row>
    <row r="48" customHeight="1" spans="1:7">
      <c r="A48" s="39" t="s">
        <v>74</v>
      </c>
      <c r="B48" s="19">
        <v>5</v>
      </c>
      <c r="C48" s="19">
        <v>5.01</v>
      </c>
      <c r="D48" s="19">
        <f t="shared" si="0"/>
        <v>0.199999999999996</v>
      </c>
      <c r="E48" s="20">
        <v>5</v>
      </c>
      <c r="F48" s="19" t="str">
        <f t="shared" si="1"/>
        <v>合格</v>
      </c>
    </row>
    <row r="49" customHeight="1" spans="1:7">
      <c r="A49" s="39" t="s">
        <v>75</v>
      </c>
      <c r="B49" s="19">
        <v>5</v>
      </c>
      <c r="C49" s="19">
        <v>4.98</v>
      </c>
      <c r="D49" s="19">
        <f t="shared" si="0"/>
        <v>-0.399999999999992</v>
      </c>
      <c r="E49" s="20">
        <v>5</v>
      </c>
      <c r="F49" s="19" t="str">
        <f t="shared" si="1"/>
        <v>合格</v>
      </c>
      <c r="G49" t="s">
        <v>76</v>
      </c>
    </row>
    <row r="50" customHeight="1" spans="1:7">
      <c r="A50" s="39" t="s">
        <v>77</v>
      </c>
      <c r="B50" s="19">
        <v>57.735</v>
      </c>
      <c r="C50" s="19">
        <v>57.62</v>
      </c>
      <c r="D50" s="19">
        <f t="shared" si="0"/>
        <v>-0.199185935740889</v>
      </c>
      <c r="E50" s="20">
        <v>5</v>
      </c>
      <c r="F50" s="19" t="str">
        <f t="shared" si="1"/>
        <v>合格</v>
      </c>
      <c r="G50" t="s">
        <v>78</v>
      </c>
    </row>
    <row r="51" customHeight="1" spans="1:7">
      <c r="A51" s="39" t="s">
        <v>79</v>
      </c>
      <c r="B51" s="19">
        <v>57.735</v>
      </c>
      <c r="C51" s="19">
        <v>57.75</v>
      </c>
      <c r="D51" s="19">
        <f t="shared" si="0"/>
        <v>0.0259807742270729</v>
      </c>
      <c r="E51" s="20">
        <v>5</v>
      </c>
      <c r="F51" s="19" t="str">
        <f t="shared" si="1"/>
        <v>合格</v>
      </c>
    </row>
    <row r="52" customHeight="1" spans="1:7">
      <c r="A52" s="39" t="s">
        <v>80</v>
      </c>
      <c r="B52" s="19">
        <v>57.735</v>
      </c>
      <c r="C52" s="21">
        <v>57.7</v>
      </c>
      <c r="D52" s="19">
        <f t="shared" si="0"/>
        <v>-0.0606218065298287</v>
      </c>
      <c r="E52" s="20">
        <v>5</v>
      </c>
      <c r="F52" s="19" t="str">
        <f t="shared" si="1"/>
        <v>合格</v>
      </c>
    </row>
    <row r="53" customHeight="1" spans="1:7">
      <c r="A53" s="39" t="s">
        <v>81</v>
      </c>
      <c r="B53" s="19">
        <v>100</v>
      </c>
      <c r="C53" s="19">
        <v>100.14</v>
      </c>
      <c r="D53" s="19">
        <f t="shared" si="0"/>
        <v>0.140000000000001</v>
      </c>
      <c r="E53" s="20">
        <v>5</v>
      </c>
      <c r="F53" s="19" t="str">
        <f t="shared" si="1"/>
        <v>合格</v>
      </c>
    </row>
    <row r="54" customHeight="1" spans="1:7">
      <c r="A54" s="39" t="s">
        <v>82</v>
      </c>
      <c r="B54" s="19">
        <v>100</v>
      </c>
      <c r="C54" s="21">
        <v>99.8</v>
      </c>
      <c r="D54" s="19">
        <f t="shared" si="0"/>
        <v>-0.200000000000003</v>
      </c>
      <c r="E54" s="20">
        <v>5</v>
      </c>
      <c r="F54" s="19" t="str">
        <f t="shared" si="1"/>
        <v>合格</v>
      </c>
    </row>
    <row r="55" customHeight="1" spans="1:7">
      <c r="A55" s="39" t="s">
        <v>83</v>
      </c>
      <c r="B55" s="19">
        <v>100</v>
      </c>
      <c r="C55" s="21">
        <v>99.75</v>
      </c>
      <c r="D55" s="19">
        <f t="shared" si="0"/>
        <v>-0.25</v>
      </c>
      <c r="E55" s="20">
        <v>5</v>
      </c>
      <c r="F55" s="19" t="str">
        <f t="shared" si="1"/>
        <v>合格</v>
      </c>
    </row>
    <row r="56" customHeight="1" spans="1:7">
      <c r="A56" s="39" t="s">
        <v>84</v>
      </c>
      <c r="B56" s="19">
        <v>45</v>
      </c>
      <c r="C56" s="19">
        <v>44.99</v>
      </c>
      <c r="D56" s="19">
        <f t="shared" ref="D56:D58" si="2">C56-B56</f>
        <v>-0.00999999999999801</v>
      </c>
      <c r="E56" s="20">
        <v>0.05</v>
      </c>
      <c r="F56" s="19" t="str">
        <f t="shared" si="1"/>
        <v>合格</v>
      </c>
    </row>
    <row r="57" customHeight="1" spans="1:7">
      <c r="A57" s="39" t="s">
        <v>84</v>
      </c>
      <c r="B57" s="19">
        <v>50</v>
      </c>
      <c r="C57" s="19">
        <v>49.99</v>
      </c>
      <c r="D57" s="19">
        <f t="shared" si="2"/>
        <v>-0.00999999999999801</v>
      </c>
      <c r="E57" s="20">
        <v>0.05</v>
      </c>
      <c r="F57" s="19" t="str">
        <f t="shared" si="1"/>
        <v>合格</v>
      </c>
    </row>
    <row r="58" customHeight="1" spans="1:7">
      <c r="A58" s="39" t="s">
        <v>84</v>
      </c>
      <c r="B58" s="19">
        <v>55</v>
      </c>
      <c r="C58" s="19">
        <v>54.98</v>
      </c>
      <c r="D58" s="19">
        <f t="shared" si="2"/>
        <v>-0.0200000000000031</v>
      </c>
      <c r="E58" s="20">
        <v>0.05</v>
      </c>
      <c r="F58" s="19" t="str">
        <f t="shared" si="1"/>
        <v>合格</v>
      </c>
    </row>
    <row r="59" customHeight="1" spans="1:7">
      <c r="A59" s="40" t="s">
        <v>85</v>
      </c>
      <c r="B59" s="41"/>
      <c r="C59" s="41"/>
      <c r="D59" s="41"/>
      <c r="E59" s="41"/>
      <c r="F59" s="41"/>
    </row>
    <row r="60" customHeight="1" spans="1:7">
      <c r="A60" s="19" t="s">
        <v>65</v>
      </c>
      <c r="B60" s="19" t="s">
        <v>66</v>
      </c>
      <c r="C60" s="19" t="s">
        <v>67</v>
      </c>
      <c r="D60" s="19" t="s">
        <v>68</v>
      </c>
      <c r="E60" s="19" t="s">
        <v>69</v>
      </c>
      <c r="F60" s="19" t="s">
        <v>70</v>
      </c>
    </row>
    <row r="61" customHeight="1" spans="1:7">
      <c r="A61" s="39" t="s">
        <v>71</v>
      </c>
      <c r="B61" s="19">
        <v>5</v>
      </c>
      <c r="C61" s="19">
        <v>4.997</v>
      </c>
      <c r="D61" s="19">
        <f>((C61-B61)/B61)*100</f>
        <v>-0.0600000000000023</v>
      </c>
      <c r="E61" s="20">
        <v>0.2</v>
      </c>
      <c r="F61" s="19" t="str">
        <f>IF(ABS(D61)&lt;E61,"合格","不合格")</f>
        <v>合格</v>
      </c>
      <c r="G61" t="s">
        <v>86</v>
      </c>
    </row>
    <row r="62" customHeight="1" spans="1:7">
      <c r="A62" s="39" t="s">
        <v>73</v>
      </c>
      <c r="B62" s="19">
        <v>5</v>
      </c>
      <c r="C62" s="19">
        <v>4.991</v>
      </c>
      <c r="D62" s="19">
        <f>((C62-B62)/B62)*100</f>
        <v>-0.180000000000007</v>
      </c>
      <c r="E62" s="20">
        <v>0.2</v>
      </c>
      <c r="F62" s="19" t="str">
        <f>IF(ABS(D62)&lt;E62,"合格","不合格")</f>
        <v>合格</v>
      </c>
    </row>
    <row r="63" customHeight="1" spans="1:7">
      <c r="A63" s="39" t="s">
        <v>74</v>
      </c>
      <c r="B63" s="19">
        <v>5</v>
      </c>
      <c r="C63" s="19">
        <v>5.008</v>
      </c>
      <c r="D63" s="19">
        <f>((C63-B63)/B63)*100</f>
        <v>0.16</v>
      </c>
      <c r="E63" s="20">
        <v>0.2</v>
      </c>
      <c r="F63" s="19" t="str">
        <f>IF(ABS(D63)&lt;E63,"合格","不合格")</f>
        <v>合格</v>
      </c>
    </row>
    <row r="64" customHeight="1" spans="1:7">
      <c r="A64" s="39" t="s">
        <v>77</v>
      </c>
      <c r="B64" s="19">
        <v>57.735</v>
      </c>
      <c r="C64" s="19">
        <v>57.68</v>
      </c>
      <c r="D64" s="19">
        <f t="shared" ref="D64:D75" si="3">((C64-B64)/B64)*100</f>
        <v>-0.0952628388325967</v>
      </c>
      <c r="E64" s="20">
        <v>0.2</v>
      </c>
      <c r="F64" s="19" t="str">
        <f t="shared" ref="F64:F78" si="4">IF(ABS(D64)&lt;E64,"合格","不合格")</f>
        <v>合格</v>
      </c>
      <c r="G64" t="s">
        <v>87</v>
      </c>
    </row>
    <row r="65" customHeight="1" spans="1:6">
      <c r="A65" s="39" t="s">
        <v>79</v>
      </c>
      <c r="B65" s="19">
        <v>57.735</v>
      </c>
      <c r="C65" s="19">
        <v>57.63</v>
      </c>
      <c r="D65" s="19">
        <f t="shared" si="3"/>
        <v>-0.181865419589498</v>
      </c>
      <c r="E65" s="20">
        <v>0.2</v>
      </c>
      <c r="F65" s="19" t="str">
        <f t="shared" si="4"/>
        <v>合格</v>
      </c>
    </row>
    <row r="66" customHeight="1" spans="1:6">
      <c r="A66" s="39" t="s">
        <v>80</v>
      </c>
      <c r="B66" s="19">
        <v>57.735</v>
      </c>
      <c r="C66" s="21">
        <v>57.74</v>
      </c>
      <c r="D66" s="19">
        <f t="shared" si="3"/>
        <v>0.00866025807569509</v>
      </c>
      <c r="E66" s="20">
        <v>0.2</v>
      </c>
      <c r="F66" s="19" t="str">
        <f t="shared" si="4"/>
        <v>合格</v>
      </c>
    </row>
    <row r="67" customHeight="1" spans="1:6">
      <c r="A67" s="39" t="s">
        <v>81</v>
      </c>
      <c r="B67" s="19">
        <v>100</v>
      </c>
      <c r="C67" s="19">
        <v>99.9</v>
      </c>
      <c r="D67" s="19">
        <f t="shared" si="3"/>
        <v>-0.0999999999999943</v>
      </c>
      <c r="E67" s="20">
        <v>0.2</v>
      </c>
      <c r="F67" s="19" t="str">
        <f t="shared" si="4"/>
        <v>合格</v>
      </c>
    </row>
    <row r="68" customHeight="1" spans="1:6">
      <c r="A68" s="39" t="s">
        <v>82</v>
      </c>
      <c r="B68" s="19">
        <v>100</v>
      </c>
      <c r="C68" s="21">
        <v>99.91</v>
      </c>
      <c r="D68" s="19">
        <f t="shared" si="3"/>
        <v>-0.0900000000000034</v>
      </c>
      <c r="E68" s="20">
        <v>0.2</v>
      </c>
      <c r="F68" s="19" t="str">
        <f t="shared" si="4"/>
        <v>合格</v>
      </c>
    </row>
    <row r="69" customHeight="1" spans="1:6">
      <c r="A69" s="39" t="s">
        <v>83</v>
      </c>
      <c r="B69" s="19">
        <v>100</v>
      </c>
      <c r="C69" s="21">
        <v>99.98</v>
      </c>
      <c r="D69" s="19">
        <f t="shared" si="3"/>
        <v>-0.019999999999996</v>
      </c>
      <c r="E69" s="20">
        <v>0.2</v>
      </c>
      <c r="F69" s="19" t="str">
        <f t="shared" si="4"/>
        <v>合格</v>
      </c>
    </row>
    <row r="70" customHeight="1" spans="1:6">
      <c r="A70" s="39" t="s">
        <v>88</v>
      </c>
      <c r="B70" s="19">
        <v>866</v>
      </c>
      <c r="C70" s="21">
        <v>864.03</v>
      </c>
      <c r="D70" s="19">
        <f t="shared" si="3"/>
        <v>-0.227482678983837</v>
      </c>
      <c r="E70" s="20">
        <v>0.5</v>
      </c>
      <c r="F70" s="19" t="str">
        <f t="shared" si="4"/>
        <v>合格</v>
      </c>
    </row>
    <row r="71" customHeight="1" spans="1:6">
      <c r="A71" s="39" t="s">
        <v>88</v>
      </c>
      <c r="B71" s="19">
        <v>-866</v>
      </c>
      <c r="C71" s="21">
        <v>-864.24</v>
      </c>
      <c r="D71" s="19">
        <f t="shared" si="3"/>
        <v>-0.203233256351038</v>
      </c>
      <c r="E71" s="20">
        <v>0.5</v>
      </c>
      <c r="F71" s="19" t="str">
        <f t="shared" si="4"/>
        <v>合格</v>
      </c>
    </row>
    <row r="72" customHeight="1" spans="1:6">
      <c r="A72" s="39" t="s">
        <v>89</v>
      </c>
      <c r="B72" s="19">
        <v>866</v>
      </c>
      <c r="C72" s="21">
        <v>865.18</v>
      </c>
      <c r="D72" s="19">
        <f t="shared" si="3"/>
        <v>-0.0946882217090127</v>
      </c>
      <c r="E72" s="20">
        <v>0.5</v>
      </c>
      <c r="F72" s="19" t="str">
        <f t="shared" si="4"/>
        <v>合格</v>
      </c>
    </row>
    <row r="73" customHeight="1" spans="1:6">
      <c r="A73" s="39" t="s">
        <v>89</v>
      </c>
      <c r="B73" s="19">
        <v>-866</v>
      </c>
      <c r="C73" s="21">
        <v>-864.93</v>
      </c>
      <c r="D73" s="19">
        <f t="shared" si="3"/>
        <v>-0.123556581986149</v>
      </c>
      <c r="E73" s="20">
        <v>0.5</v>
      </c>
      <c r="F73" s="19" t="str">
        <f t="shared" si="4"/>
        <v>合格</v>
      </c>
    </row>
    <row r="74" customHeight="1" spans="1:6">
      <c r="A74" s="39" t="s">
        <v>90</v>
      </c>
      <c r="B74" s="19">
        <v>0.5</v>
      </c>
      <c r="C74" s="21">
        <v>0.501</v>
      </c>
      <c r="D74" s="19">
        <f t="shared" si="3"/>
        <v>0.2</v>
      </c>
      <c r="E74" s="20">
        <v>0.5</v>
      </c>
      <c r="F74" s="19" t="str">
        <f t="shared" si="4"/>
        <v>合格</v>
      </c>
    </row>
    <row r="75" customHeight="1" spans="1:6">
      <c r="A75" s="39" t="s">
        <v>90</v>
      </c>
      <c r="B75" s="19">
        <v>-0.5</v>
      </c>
      <c r="C75" s="21">
        <v>-0.501</v>
      </c>
      <c r="D75" s="19">
        <f t="shared" si="3"/>
        <v>0.2</v>
      </c>
      <c r="E75" s="20">
        <v>0.5</v>
      </c>
      <c r="F75" s="19" t="str">
        <f t="shared" si="4"/>
        <v>合格</v>
      </c>
    </row>
    <row r="76" customHeight="1" spans="1:6">
      <c r="A76" s="39" t="s">
        <v>84</v>
      </c>
      <c r="B76" s="19">
        <v>45</v>
      </c>
      <c r="C76" s="19">
        <v>44.99</v>
      </c>
      <c r="D76" s="19">
        <f t="shared" ref="D76:D78" si="5">C76-B76</f>
        <v>-0.00999999999999801</v>
      </c>
      <c r="E76" s="20">
        <v>0.05</v>
      </c>
      <c r="F76" s="19" t="str">
        <f t="shared" si="4"/>
        <v>合格</v>
      </c>
    </row>
    <row r="77" customHeight="1" spans="1:6">
      <c r="A77" s="39" t="s">
        <v>84</v>
      </c>
      <c r="B77" s="19">
        <v>50</v>
      </c>
      <c r="C77" s="19">
        <v>49.99</v>
      </c>
      <c r="D77" s="19">
        <f t="shared" si="5"/>
        <v>-0.00999999999999801</v>
      </c>
      <c r="E77" s="20">
        <v>0.05</v>
      </c>
      <c r="F77" s="19" t="str">
        <f t="shared" si="4"/>
        <v>合格</v>
      </c>
    </row>
    <row r="78" customHeight="1" spans="1:6">
      <c r="A78" s="39" t="s">
        <v>84</v>
      </c>
      <c r="B78" s="19">
        <v>55</v>
      </c>
      <c r="C78" s="19">
        <v>54.99</v>
      </c>
      <c r="D78" s="19">
        <f t="shared" si="5"/>
        <v>-0.00999999999999801</v>
      </c>
      <c r="E78" s="20">
        <v>0.05</v>
      </c>
      <c r="F78" s="19" t="str">
        <f t="shared" si="4"/>
        <v>合格</v>
      </c>
    </row>
    <row r="79" customHeight="1" spans="1:6">
      <c r="A79" s="28" t="s">
        <v>91</v>
      </c>
      <c r="B79" s="28"/>
      <c r="C79" s="28"/>
      <c r="D79" s="28"/>
      <c r="E79" s="28"/>
      <c r="F79" s="28"/>
    </row>
    <row r="80" customHeight="1" spans="1:6">
      <c r="A80" s="34" t="s">
        <v>92</v>
      </c>
      <c r="B80" s="26" t="s">
        <v>19</v>
      </c>
      <c r="C80" s="34" t="s">
        <v>93</v>
      </c>
      <c r="D80" s="26" t="s">
        <v>19</v>
      </c>
      <c r="E80" s="34" t="s">
        <v>94</v>
      </c>
      <c r="F80" s="26" t="s">
        <v>19</v>
      </c>
    </row>
    <row r="81" customHeight="1" spans="1:6">
      <c r="A81" s="34" t="s">
        <v>95</v>
      </c>
      <c r="B81" s="26" t="s">
        <v>19</v>
      </c>
      <c r="C81" s="34" t="s">
        <v>96</v>
      </c>
      <c r="D81" s="26" t="s">
        <v>19</v>
      </c>
      <c r="E81" s="34" t="s">
        <v>97</v>
      </c>
      <c r="F81" s="26" t="s">
        <v>19</v>
      </c>
    </row>
    <row r="82" customHeight="1" spans="1:6">
      <c r="A82" s="34" t="s">
        <v>98</v>
      </c>
      <c r="B82" s="26" t="s">
        <v>19</v>
      </c>
      <c r="C82" s="34" t="s">
        <v>99</v>
      </c>
      <c r="D82" s="26" t="s">
        <v>19</v>
      </c>
      <c r="E82" s="34" t="s">
        <v>100</v>
      </c>
      <c r="F82" s="26" t="s">
        <v>101</v>
      </c>
    </row>
    <row r="83" customHeight="1" spans="1:6">
      <c r="A83" s="28" t="s">
        <v>102</v>
      </c>
      <c r="B83" s="28"/>
      <c r="C83" s="28"/>
      <c r="D83" s="28"/>
      <c r="E83" s="28"/>
      <c r="F83" s="28"/>
    </row>
    <row r="84" customHeight="1" spans="1:6">
      <c r="A84" s="34" t="s">
        <v>103</v>
      </c>
      <c r="B84" s="26" t="s">
        <v>19</v>
      </c>
      <c r="C84" s="34" t="s">
        <v>104</v>
      </c>
      <c r="D84" s="26" t="s">
        <v>19</v>
      </c>
      <c r="E84" s="34" t="s">
        <v>105</v>
      </c>
      <c r="F84" s="26" t="s">
        <v>19</v>
      </c>
    </row>
    <row r="85" customHeight="1" spans="1:6">
      <c r="A85" s="34" t="s">
        <v>106</v>
      </c>
      <c r="B85" s="26" t="s">
        <v>19</v>
      </c>
      <c r="C85" s="34" t="s">
        <v>107</v>
      </c>
      <c r="D85" s="26" t="s">
        <v>19</v>
      </c>
      <c r="E85" s="34" t="s">
        <v>108</v>
      </c>
      <c r="F85" s="26" t="s">
        <v>19</v>
      </c>
    </row>
    <row r="86" customHeight="1" spans="1:6">
      <c r="A86" s="34" t="s">
        <v>109</v>
      </c>
      <c r="B86" s="26" t="s">
        <v>19</v>
      </c>
      <c r="C86" s="34" t="s">
        <v>110</v>
      </c>
      <c r="D86" s="26" t="s">
        <v>19</v>
      </c>
      <c r="E86" s="34" t="s">
        <v>111</v>
      </c>
      <c r="F86" s="26" t="s">
        <v>19</v>
      </c>
    </row>
    <row r="87" customHeight="1" spans="1:6">
      <c r="A87" s="34" t="s">
        <v>112</v>
      </c>
      <c r="B87" s="26" t="s">
        <v>19</v>
      </c>
      <c r="C87" s="34" t="s">
        <v>113</v>
      </c>
      <c r="D87" s="26" t="s">
        <v>19</v>
      </c>
      <c r="E87" s="34" t="s">
        <v>114</v>
      </c>
      <c r="F87" s="26" t="s">
        <v>19</v>
      </c>
    </row>
    <row r="88" customHeight="1" spans="1:6">
      <c r="A88" s="29" t="s">
        <v>115</v>
      </c>
      <c r="B88" s="29"/>
      <c r="C88" s="29"/>
      <c r="D88" s="29"/>
      <c r="E88" s="29"/>
      <c r="F88" s="29"/>
    </row>
    <row r="89" customHeight="1" spans="1:6">
      <c r="A89" s="42" t="s">
        <v>116</v>
      </c>
      <c r="B89" s="42"/>
      <c r="C89" s="26" t="s">
        <v>19</v>
      </c>
      <c r="D89" s="42" t="s">
        <v>117</v>
      </c>
      <c r="E89" s="42"/>
      <c r="F89" s="26" t="s">
        <v>19</v>
      </c>
    </row>
    <row r="90" customHeight="1" spans="1:6">
      <c r="A90" s="28" t="s">
        <v>118</v>
      </c>
      <c r="B90" s="28"/>
      <c r="C90" s="28"/>
      <c r="D90" s="28"/>
      <c r="E90" s="28"/>
      <c r="F90" s="28"/>
    </row>
    <row r="91" customHeight="1" spans="1:6">
      <c r="A91" s="43" t="s">
        <v>119</v>
      </c>
      <c r="B91" s="26" t="s">
        <v>19</v>
      </c>
      <c r="C91" s="43"/>
      <c r="D91" s="26"/>
      <c r="E91" s="43" t="s">
        <v>120</v>
      </c>
      <c r="F91" s="26" t="s">
        <v>19</v>
      </c>
    </row>
    <row r="92" customHeight="1" spans="1:6">
      <c r="A92" s="43" t="s">
        <v>121</v>
      </c>
      <c r="B92" s="26" t="s">
        <v>122</v>
      </c>
      <c r="C92" s="43" t="s">
        <v>123</v>
      </c>
      <c r="D92" s="26" t="s">
        <v>122</v>
      </c>
      <c r="E92" s="43" t="s">
        <v>124</v>
      </c>
      <c r="F92" s="26" t="s">
        <v>19</v>
      </c>
    </row>
    <row r="93" customHeight="1" spans="1:6">
      <c r="A93" s="43" t="s">
        <v>125</v>
      </c>
      <c r="B93" s="44" t="s">
        <v>126</v>
      </c>
      <c r="C93" s="26" t="s">
        <v>19</v>
      </c>
      <c r="D93" s="44" t="s">
        <v>127</v>
      </c>
      <c r="E93" s="26" t="s">
        <v>19</v>
      </c>
      <c r="F93" s="45"/>
    </row>
    <row r="94" customHeight="1" spans="1:6">
      <c r="A94" s="43" t="s">
        <v>128</v>
      </c>
      <c r="B94" s="44" t="s">
        <v>126</v>
      </c>
      <c r="C94" s="26" t="s">
        <v>19</v>
      </c>
      <c r="D94" s="44" t="s">
        <v>127</v>
      </c>
      <c r="E94" s="26" t="s">
        <v>19</v>
      </c>
      <c r="F94" s="45"/>
    </row>
    <row r="95" customHeight="1" spans="1:6">
      <c r="A95" s="43" t="s">
        <v>129</v>
      </c>
      <c r="B95" s="44" t="s">
        <v>126</v>
      </c>
      <c r="C95" s="26" t="s">
        <v>19</v>
      </c>
      <c r="D95" s="44" t="s">
        <v>127</v>
      </c>
      <c r="E95" s="26" t="s">
        <v>19</v>
      </c>
      <c r="F95" s="45"/>
    </row>
    <row r="96" customHeight="1" spans="1:6">
      <c r="A96" s="43" t="s">
        <v>130</v>
      </c>
      <c r="B96" s="44" t="s">
        <v>126</v>
      </c>
      <c r="C96" s="26" t="s">
        <v>19</v>
      </c>
      <c r="D96" s="44" t="s">
        <v>127</v>
      </c>
      <c r="E96" s="26" t="s">
        <v>19</v>
      </c>
      <c r="F96" s="45"/>
    </row>
    <row r="97" customHeight="1" spans="1:6">
      <c r="A97" s="43" t="s">
        <v>131</v>
      </c>
      <c r="B97" s="44" t="s">
        <v>126</v>
      </c>
      <c r="C97" s="26" t="s">
        <v>19</v>
      </c>
      <c r="D97" s="44" t="s">
        <v>127</v>
      </c>
      <c r="E97" s="26" t="s">
        <v>19</v>
      </c>
      <c r="F97" s="45"/>
    </row>
    <row r="98" customHeight="1" spans="1:6">
      <c r="A98" s="43" t="s">
        <v>132</v>
      </c>
      <c r="B98" s="44" t="s">
        <v>126</v>
      </c>
      <c r="C98" s="26" t="s">
        <v>19</v>
      </c>
      <c r="D98" s="44" t="s">
        <v>127</v>
      </c>
      <c r="E98" s="26" t="s">
        <v>19</v>
      </c>
      <c r="F98" s="45"/>
    </row>
    <row r="99" customHeight="1" spans="1:6">
      <c r="A99" s="43" t="s">
        <v>133</v>
      </c>
      <c r="B99" s="44" t="s">
        <v>126</v>
      </c>
      <c r="C99" s="26" t="s">
        <v>19</v>
      </c>
      <c r="D99" s="44" t="s">
        <v>127</v>
      </c>
      <c r="E99" s="26" t="s">
        <v>19</v>
      </c>
      <c r="F99" s="45"/>
    </row>
    <row r="100" customHeight="1" spans="1:6">
      <c r="A100" s="43" t="s">
        <v>134</v>
      </c>
      <c r="B100" s="44" t="s">
        <v>126</v>
      </c>
      <c r="C100" s="26" t="s">
        <v>19</v>
      </c>
      <c r="D100" s="44" t="s">
        <v>127</v>
      </c>
      <c r="E100" s="26" t="s">
        <v>19</v>
      </c>
      <c r="F100" s="45"/>
    </row>
    <row r="101" customHeight="1" spans="1:6">
      <c r="A101" s="43" t="s">
        <v>135</v>
      </c>
      <c r="B101" s="44" t="s">
        <v>126</v>
      </c>
      <c r="C101" s="26" t="s">
        <v>19</v>
      </c>
      <c r="D101" s="44" t="s">
        <v>127</v>
      </c>
      <c r="E101" s="26" t="s">
        <v>19</v>
      </c>
      <c r="F101" s="45"/>
    </row>
    <row r="102" customHeight="1" spans="1:6">
      <c r="A102" s="43" t="s">
        <v>136</v>
      </c>
      <c r="B102" s="44" t="s">
        <v>126</v>
      </c>
      <c r="C102" s="26" t="s">
        <v>19</v>
      </c>
      <c r="D102" s="44" t="s">
        <v>127</v>
      </c>
      <c r="E102" s="26" t="s">
        <v>19</v>
      </c>
      <c r="F102" s="45"/>
    </row>
    <row r="103" customHeight="1" spans="1:6">
      <c r="A103" s="43" t="s">
        <v>137</v>
      </c>
      <c r="B103" s="44" t="s">
        <v>126</v>
      </c>
      <c r="C103" s="26" t="s">
        <v>19</v>
      </c>
      <c r="D103" s="44" t="s">
        <v>127</v>
      </c>
      <c r="E103" s="26" t="s">
        <v>19</v>
      </c>
      <c r="F103" s="45"/>
    </row>
    <row r="104" customHeight="1" spans="1:6">
      <c r="A104" s="43" t="s">
        <v>138</v>
      </c>
      <c r="B104" s="44" t="s">
        <v>126</v>
      </c>
      <c r="C104" s="26" t="s">
        <v>19</v>
      </c>
      <c r="D104" s="44" t="s">
        <v>127</v>
      </c>
      <c r="E104" s="26" t="s">
        <v>19</v>
      </c>
      <c r="F104" s="45"/>
    </row>
    <row r="105" customHeight="1" spans="1:6">
      <c r="A105" s="43" t="s">
        <v>139</v>
      </c>
      <c r="B105" s="44" t="s">
        <v>126</v>
      </c>
      <c r="C105" s="26" t="s">
        <v>19</v>
      </c>
      <c r="D105" s="44" t="s">
        <v>127</v>
      </c>
      <c r="E105" s="26" t="s">
        <v>19</v>
      </c>
      <c r="F105" s="28"/>
    </row>
    <row r="106" customHeight="1" spans="1:6">
      <c r="A106" s="43" t="s">
        <v>140</v>
      </c>
      <c r="B106" s="44" t="s">
        <v>126</v>
      </c>
      <c r="C106" s="26" t="s">
        <v>19</v>
      </c>
      <c r="D106" s="44" t="s">
        <v>127</v>
      </c>
      <c r="E106" s="26" t="s">
        <v>19</v>
      </c>
      <c r="F106" s="45"/>
    </row>
    <row r="107" customHeight="1" spans="1:6">
      <c r="A107" s="43" t="s">
        <v>141</v>
      </c>
      <c r="B107" s="44" t="s">
        <v>126</v>
      </c>
      <c r="C107" s="26" t="s">
        <v>19</v>
      </c>
      <c r="D107" s="44" t="s">
        <v>127</v>
      </c>
      <c r="E107" s="26" t="s">
        <v>19</v>
      </c>
      <c r="F107" s="28"/>
    </row>
    <row r="108" customHeight="1" spans="1:6">
      <c r="A108" s="43" t="s">
        <v>142</v>
      </c>
      <c r="B108" s="44" t="s">
        <v>126</v>
      </c>
      <c r="C108" s="26" t="s">
        <v>19</v>
      </c>
      <c r="D108" s="44" t="s">
        <v>127</v>
      </c>
      <c r="E108" s="26" t="s">
        <v>19</v>
      </c>
      <c r="F108" s="28"/>
    </row>
    <row r="109" customHeight="1" spans="1:6">
      <c r="A109" s="43" t="s">
        <v>143</v>
      </c>
      <c r="B109" s="44" t="s">
        <v>126</v>
      </c>
      <c r="C109" s="26" t="s">
        <v>19</v>
      </c>
      <c r="D109" s="44" t="s">
        <v>127</v>
      </c>
      <c r="E109" s="26" t="s">
        <v>19</v>
      </c>
      <c r="F109" s="28"/>
    </row>
    <row r="110" customHeight="1" spans="1:6">
      <c r="A110" s="43" t="s">
        <v>144</v>
      </c>
      <c r="B110" s="44" t="s">
        <v>126</v>
      </c>
      <c r="C110" s="26" t="s">
        <v>19</v>
      </c>
      <c r="D110" s="44" t="s">
        <v>127</v>
      </c>
      <c r="E110" s="26" t="s">
        <v>19</v>
      </c>
      <c r="F110" s="28"/>
    </row>
    <row r="111" customHeight="1" spans="1:6">
      <c r="A111" s="43" t="s">
        <v>145</v>
      </c>
      <c r="B111" s="44" t="s">
        <v>126</v>
      </c>
      <c r="C111" s="26" t="s">
        <v>19</v>
      </c>
      <c r="D111" s="44" t="s">
        <v>127</v>
      </c>
      <c r="E111" s="26" t="s">
        <v>19</v>
      </c>
      <c r="F111" s="28"/>
    </row>
    <row r="112" customHeight="1" spans="1:6">
      <c r="A112" s="43" t="s">
        <v>146</v>
      </c>
      <c r="B112" s="44" t="s">
        <v>126</v>
      </c>
      <c r="C112" s="26" t="s">
        <v>19</v>
      </c>
      <c r="D112" s="44" t="s">
        <v>127</v>
      </c>
      <c r="E112" s="26" t="s">
        <v>19</v>
      </c>
      <c r="F112" s="28"/>
    </row>
    <row r="113" customHeight="1" spans="1:6">
      <c r="A113" s="43" t="s">
        <v>147</v>
      </c>
      <c r="B113" s="44" t="s">
        <v>126</v>
      </c>
      <c r="C113" s="26" t="s">
        <v>19</v>
      </c>
      <c r="D113" s="44" t="s">
        <v>127</v>
      </c>
      <c r="E113" s="26" t="s">
        <v>19</v>
      </c>
      <c r="F113" s="28"/>
    </row>
    <row r="114" customHeight="1" spans="1:6">
      <c r="A114" s="43" t="s">
        <v>148</v>
      </c>
      <c r="B114" s="44" t="s">
        <v>126</v>
      </c>
      <c r="C114" s="26" t="s">
        <v>19</v>
      </c>
      <c r="D114" s="44" t="s">
        <v>127</v>
      </c>
      <c r="E114" s="26" t="s">
        <v>19</v>
      </c>
      <c r="F114" s="28"/>
    </row>
    <row r="115" customHeight="1" spans="1:6">
      <c r="A115" s="43" t="s">
        <v>149</v>
      </c>
      <c r="B115" s="44" t="s">
        <v>126</v>
      </c>
      <c r="C115" s="26" t="s">
        <v>19</v>
      </c>
      <c r="D115" s="44" t="s">
        <v>127</v>
      </c>
      <c r="E115" s="26" t="s">
        <v>19</v>
      </c>
      <c r="F115" s="28"/>
    </row>
    <row r="116" customHeight="1" spans="1:6">
      <c r="A116" s="43" t="s">
        <v>150</v>
      </c>
      <c r="B116" s="44" t="s">
        <v>126</v>
      </c>
      <c r="C116" s="26" t="s">
        <v>19</v>
      </c>
      <c r="D116" s="44" t="s">
        <v>127</v>
      </c>
      <c r="E116" s="26" t="s">
        <v>19</v>
      </c>
      <c r="F116" s="28"/>
    </row>
    <row r="117" customHeight="1" spans="1:6">
      <c r="A117" s="43" t="s">
        <v>151</v>
      </c>
      <c r="B117" s="44" t="s">
        <v>126</v>
      </c>
      <c r="C117" s="26" t="s">
        <v>19</v>
      </c>
      <c r="D117" s="44" t="s">
        <v>127</v>
      </c>
      <c r="E117" s="26" t="s">
        <v>19</v>
      </c>
      <c r="F117" s="28"/>
    </row>
    <row r="118" customHeight="1" spans="1:6">
      <c r="A118" s="43" t="s">
        <v>152</v>
      </c>
      <c r="B118" s="44" t="s">
        <v>126</v>
      </c>
      <c r="C118" s="26" t="s">
        <v>19</v>
      </c>
      <c r="D118" s="44" t="s">
        <v>127</v>
      </c>
      <c r="E118" s="26" t="s">
        <v>19</v>
      </c>
      <c r="F118" s="28"/>
    </row>
    <row r="119" customHeight="1" spans="1:6">
      <c r="A119" s="43" t="s">
        <v>153</v>
      </c>
      <c r="B119" s="44" t="s">
        <v>126</v>
      </c>
      <c r="C119" s="26" t="s">
        <v>19</v>
      </c>
      <c r="D119" s="44" t="s">
        <v>127</v>
      </c>
      <c r="E119" s="26" t="s">
        <v>19</v>
      </c>
      <c r="F119" s="28"/>
    </row>
    <row r="120" customHeight="1" spans="1:6">
      <c r="A120" s="43" t="s">
        <v>154</v>
      </c>
      <c r="B120" s="44" t="s">
        <v>126</v>
      </c>
      <c r="C120" s="26" t="s">
        <v>19</v>
      </c>
      <c r="D120" s="44" t="s">
        <v>127</v>
      </c>
      <c r="E120" s="26" t="s">
        <v>19</v>
      </c>
      <c r="F120" s="28"/>
    </row>
    <row r="121" customHeight="1" spans="1:6">
      <c r="A121" s="43" t="s">
        <v>155</v>
      </c>
      <c r="B121" s="44" t="s">
        <v>126</v>
      </c>
      <c r="C121" s="26" t="s">
        <v>19</v>
      </c>
      <c r="D121" s="44" t="s">
        <v>127</v>
      </c>
      <c r="E121" s="26" t="s">
        <v>19</v>
      </c>
      <c r="F121" s="28"/>
    </row>
    <row r="122" customHeight="1" spans="1:6">
      <c r="A122" s="43" t="s">
        <v>156</v>
      </c>
      <c r="B122" s="44" t="s">
        <v>126</v>
      </c>
      <c r="C122" s="26" t="s">
        <v>19</v>
      </c>
      <c r="D122" s="44" t="s">
        <v>127</v>
      </c>
      <c r="E122" s="26" t="s">
        <v>19</v>
      </c>
      <c r="F122" s="28"/>
    </row>
    <row r="123" customHeight="1" spans="1:6">
      <c r="A123" s="43" t="s">
        <v>157</v>
      </c>
      <c r="B123" s="44" t="s">
        <v>126</v>
      </c>
      <c r="C123" s="26" t="s">
        <v>19</v>
      </c>
      <c r="D123" s="44" t="s">
        <v>127</v>
      </c>
      <c r="E123" s="26" t="s">
        <v>19</v>
      </c>
      <c r="F123" s="28"/>
    </row>
    <row r="124" customHeight="1" spans="1:6">
      <c r="A124" s="43" t="s">
        <v>158</v>
      </c>
      <c r="B124" s="44" t="s">
        <v>126</v>
      </c>
      <c r="C124" s="26" t="s">
        <v>19</v>
      </c>
      <c r="D124" s="44" t="s">
        <v>127</v>
      </c>
      <c r="E124" s="26" t="s">
        <v>19</v>
      </c>
      <c r="F124" s="28"/>
    </row>
    <row r="125" customHeight="1" spans="1:6">
      <c r="A125" s="43" t="s">
        <v>159</v>
      </c>
      <c r="B125" s="44" t="s">
        <v>126</v>
      </c>
      <c r="C125" s="26" t="s">
        <v>19</v>
      </c>
      <c r="D125" s="44" t="s">
        <v>127</v>
      </c>
      <c r="E125" s="26" t="s">
        <v>19</v>
      </c>
      <c r="F125" s="28"/>
    </row>
    <row r="126" customHeight="1" spans="1:6">
      <c r="A126" s="28" t="s">
        <v>160</v>
      </c>
      <c r="B126" s="28"/>
      <c r="C126" s="28"/>
      <c r="D126" s="28"/>
      <c r="E126" s="28"/>
      <c r="F126" s="28"/>
    </row>
    <row r="127" customHeight="1" spans="1:6">
      <c r="A127" s="34" t="s">
        <v>161</v>
      </c>
      <c r="B127" s="26" t="s">
        <v>162</v>
      </c>
      <c r="C127" s="34" t="s">
        <v>163</v>
      </c>
      <c r="D127" s="26" t="s">
        <v>162</v>
      </c>
      <c r="E127" s="26"/>
      <c r="F127" s="26"/>
    </row>
    <row r="128" customHeight="1" spans="1:6">
      <c r="A128" s="28" t="s">
        <v>164</v>
      </c>
      <c r="B128" s="28"/>
      <c r="C128" s="28"/>
      <c r="D128" s="28"/>
      <c r="E128" s="28"/>
      <c r="F128" s="28"/>
    </row>
    <row r="129" customHeight="1" spans="1:6">
      <c r="A129" s="34" t="s">
        <v>165</v>
      </c>
      <c r="B129" s="26" t="s">
        <v>162</v>
      </c>
      <c r="C129" s="34" t="s">
        <v>166</v>
      </c>
      <c r="D129" s="26" t="s">
        <v>19</v>
      </c>
      <c r="E129" s="34" t="s">
        <v>167</v>
      </c>
      <c r="F129" s="26" t="s">
        <v>162</v>
      </c>
    </row>
    <row r="130" customHeight="1" spans="1:6">
      <c r="A130" s="28" t="s">
        <v>168</v>
      </c>
      <c r="B130" s="28"/>
      <c r="C130" s="28"/>
      <c r="D130" s="28"/>
      <c r="E130" s="28"/>
      <c r="F130" s="28"/>
    </row>
    <row r="131" customHeight="1" spans="1:6">
      <c r="A131" s="34" t="s">
        <v>169</v>
      </c>
      <c r="B131" s="26" t="s">
        <v>19</v>
      </c>
      <c r="C131" s="34" t="s">
        <v>170</v>
      </c>
      <c r="D131" s="26" t="s">
        <v>162</v>
      </c>
      <c r="E131" s="26"/>
      <c r="F131" s="26"/>
    </row>
    <row r="132" ht="45" customHeight="1" spans="1:6">
      <c r="A132" s="40" t="s">
        <v>171</v>
      </c>
      <c r="B132" s="40"/>
      <c r="C132" s="40"/>
      <c r="D132" s="40"/>
      <c r="E132" s="40"/>
      <c r="F132" s="40"/>
    </row>
    <row r="133" customHeight="1" spans="1:6">
      <c r="A133" s="46" t="s">
        <v>172</v>
      </c>
      <c r="B133" s="46" t="s">
        <v>173</v>
      </c>
      <c r="C133" s="27" t="s">
        <v>174</v>
      </c>
      <c r="D133" s="27" t="s">
        <v>175</v>
      </c>
      <c r="E133" s="27" t="s">
        <v>70</v>
      </c>
      <c r="F133" s="27"/>
    </row>
    <row r="134" customHeight="1" spans="1:6">
      <c r="A134" s="27">
        <v>5</v>
      </c>
      <c r="B134" s="27">
        <v>0</v>
      </c>
      <c r="C134" s="27">
        <v>35</v>
      </c>
      <c r="D134" s="27">
        <v>40</v>
      </c>
      <c r="E134" s="47" t="str">
        <f>IF((C134)&lt;D134,"合格","不合格")</f>
        <v>合格</v>
      </c>
      <c r="F134" s="27"/>
    </row>
    <row r="135" customHeight="1" spans="1:6">
      <c r="A135" s="27">
        <v>5</v>
      </c>
      <c r="B135" s="27">
        <v>1</v>
      </c>
      <c r="C135" s="27">
        <v>35</v>
      </c>
      <c r="D135" s="27">
        <v>40</v>
      </c>
      <c r="E135" s="47" t="str">
        <f>IF((C135)&lt;D135,"合格","不合格")</f>
        <v>合格</v>
      </c>
      <c r="F135" s="27"/>
    </row>
    <row r="136" customHeight="1" spans="1:6">
      <c r="A136" s="26" t="s">
        <v>176</v>
      </c>
      <c r="B136" s="26" t="s">
        <v>177</v>
      </c>
      <c r="C136" s="26"/>
      <c r="D136" s="26" t="s">
        <v>178</v>
      </c>
      <c r="E136" s="26" t="s">
        <v>179</v>
      </c>
      <c r="F136" s="26"/>
    </row>
  </sheetData>
  <mergeCells count="46">
    <mergeCell ref="A1:F1"/>
    <mergeCell ref="H1:O1"/>
    <mergeCell ref="B3:F3"/>
    <mergeCell ref="A8:F8"/>
    <mergeCell ref="A9:F9"/>
    <mergeCell ref="A13:F13"/>
    <mergeCell ref="A23:F23"/>
    <mergeCell ref="A28:F28"/>
    <mergeCell ref="C29:F29"/>
    <mergeCell ref="A30:F30"/>
    <mergeCell ref="C31:F31"/>
    <mergeCell ref="A32:E32"/>
    <mergeCell ref="A33:F33"/>
    <mergeCell ref="C34:F34"/>
    <mergeCell ref="A35:E35"/>
    <mergeCell ref="A36:F36"/>
    <mergeCell ref="C37:F37"/>
    <mergeCell ref="A38:F38"/>
    <mergeCell ref="C39:F39"/>
    <mergeCell ref="A40:F40"/>
    <mergeCell ref="C41:F41"/>
    <mergeCell ref="A42:F42"/>
    <mergeCell ref="C43:F43"/>
    <mergeCell ref="A44:F44"/>
    <mergeCell ref="A59:F59"/>
    <mergeCell ref="A79:F79"/>
    <mergeCell ref="A83:F83"/>
    <mergeCell ref="A88:F88"/>
    <mergeCell ref="A89:B89"/>
    <mergeCell ref="D89:E89"/>
    <mergeCell ref="A90:F90"/>
    <mergeCell ref="A126:F126"/>
    <mergeCell ref="A128:F128"/>
    <mergeCell ref="A130:F130"/>
    <mergeCell ref="A132:F132"/>
    <mergeCell ref="A4:A5"/>
    <mergeCell ref="A6:A7"/>
    <mergeCell ref="A14:A16"/>
    <mergeCell ref="A17:A19"/>
    <mergeCell ref="A20:A22"/>
    <mergeCell ref="B14:B16"/>
    <mergeCell ref="B17:B19"/>
    <mergeCell ref="B20:B22"/>
    <mergeCell ref="B4:F5"/>
    <mergeCell ref="H2:O15"/>
    <mergeCell ref="B6:F7"/>
  </mergeCells>
  <pageMargins left="0.393055555555556" right="0.393055555555556" top="0.393055555555556" bottom="0.393055555555556" header="0.0784722222222222" footer="0.0784722222222222"/>
  <pageSetup paperSize="9" orientation="portrait" horizontalDpi="6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6"/>
  <sheetViews>
    <sheetView workbookViewId="0">
      <selection activeCell="A1" sqref="$A1:$XFD1048576"/>
    </sheetView>
  </sheetViews>
  <sheetFormatPr defaultColWidth="9" defaultRowHeight="27" customHeight="1"/>
  <cols>
    <col min="1" max="1" width="15.8909090909091" customWidth="1"/>
    <col min="2" max="2" width="19.6636363636364" customWidth="1"/>
    <col min="3" max="3" width="18" customWidth="1"/>
    <col min="4" max="4" width="19.4454545454545" customWidth="1"/>
    <col min="5" max="5" width="16.2181818181818" customWidth="1"/>
    <col min="6" max="6" width="20.7818181818182" customWidth="1"/>
  </cols>
  <sheetData>
    <row r="1" customHeight="1" spans="1:15">
      <c r="A1" s="1"/>
      <c r="B1" s="1"/>
      <c r="C1" s="1"/>
      <c r="D1" s="1"/>
      <c r="E1" s="1"/>
      <c r="F1" s="1"/>
      <c r="H1" s="2"/>
      <c r="I1" s="2"/>
      <c r="J1" s="2"/>
      <c r="K1" s="2"/>
      <c r="L1" s="2"/>
      <c r="M1" s="2"/>
      <c r="N1" s="2"/>
      <c r="O1" s="2"/>
    </row>
    <row r="2" customHeight="1" spans="1:15">
      <c r="H2" s="3"/>
      <c r="I2" s="3"/>
      <c r="J2" s="3"/>
      <c r="K2" s="3"/>
      <c r="L2" s="3"/>
      <c r="M2" s="3"/>
      <c r="N2" s="3"/>
      <c r="O2" s="3"/>
    </row>
    <row r="3" ht="42" customHeight="1" spans="1:15">
      <c r="A3" s="4"/>
      <c r="B3" s="4"/>
      <c r="C3" s="4"/>
      <c r="D3" s="4"/>
      <c r="E3" s="4"/>
      <c r="F3" s="4"/>
      <c r="H3" s="3"/>
      <c r="I3" s="3"/>
      <c r="J3" s="3"/>
      <c r="K3" s="3"/>
      <c r="L3" s="3"/>
      <c r="M3" s="3"/>
      <c r="N3" s="3"/>
      <c r="O3" s="3"/>
    </row>
    <row r="4" ht="42" customHeight="1" spans="1:15">
      <c r="A4" s="4"/>
      <c r="B4" s="4"/>
      <c r="C4" s="4"/>
      <c r="D4" s="4"/>
      <c r="E4" s="4"/>
      <c r="F4" s="4"/>
      <c r="H4" s="3"/>
      <c r="I4" s="3"/>
      <c r="J4" s="3"/>
      <c r="K4" s="3"/>
      <c r="L4" s="3"/>
      <c r="M4" s="3"/>
      <c r="N4" s="3"/>
      <c r="O4" s="3"/>
    </row>
    <row r="5" ht="42" customHeight="1" spans="1:15">
      <c r="A5" s="4"/>
      <c r="B5" s="4"/>
      <c r="C5" s="4"/>
      <c r="D5" s="4"/>
      <c r="E5" s="4"/>
      <c r="F5" s="4"/>
      <c r="H5" s="3"/>
      <c r="I5" s="3"/>
      <c r="J5" s="3"/>
      <c r="K5" s="3"/>
      <c r="L5" s="3"/>
      <c r="M5" s="3"/>
      <c r="N5" s="3"/>
      <c r="O5" s="3"/>
    </row>
    <row r="6" ht="42" customHeight="1" spans="1:15">
      <c r="A6" s="4"/>
      <c r="B6" s="4"/>
      <c r="C6" s="4"/>
      <c r="D6" s="4"/>
      <c r="E6" s="4"/>
      <c r="F6" s="4"/>
      <c r="H6" s="3"/>
      <c r="I6" s="3"/>
      <c r="J6" s="3"/>
      <c r="K6" s="3"/>
      <c r="L6" s="3"/>
      <c r="M6" s="3"/>
      <c r="N6" s="3"/>
      <c r="O6" s="3"/>
    </row>
    <row r="7" ht="42" customHeight="1" spans="1:15">
      <c r="A7" s="4"/>
      <c r="B7" s="4"/>
      <c r="C7" s="4"/>
      <c r="D7" s="4"/>
      <c r="E7" s="4"/>
      <c r="F7" s="4"/>
      <c r="H7" s="3"/>
      <c r="I7" s="3"/>
      <c r="J7" s="3"/>
      <c r="K7" s="3"/>
      <c r="L7" s="3"/>
      <c r="M7" s="3"/>
      <c r="N7" s="3"/>
      <c r="O7" s="3"/>
    </row>
    <row r="8" customHeight="1" spans="1:15">
      <c r="A8" s="5"/>
      <c r="B8" s="5"/>
      <c r="C8" s="5"/>
      <c r="D8" s="5"/>
      <c r="E8" s="5"/>
      <c r="F8" s="5"/>
      <c r="H8" s="3"/>
      <c r="I8" s="3"/>
      <c r="J8" s="3"/>
      <c r="K8" s="3"/>
      <c r="L8" s="3"/>
      <c r="M8" s="3"/>
      <c r="N8" s="3"/>
      <c r="O8" s="3"/>
    </row>
    <row r="9" customHeight="1" spans="1:15">
      <c r="A9" s="6"/>
      <c r="B9" s="6"/>
      <c r="C9" s="6"/>
      <c r="D9" s="6"/>
      <c r="E9" s="6"/>
      <c r="F9" s="6"/>
      <c r="H9" s="3"/>
      <c r="I9" s="3"/>
      <c r="J9" s="3"/>
      <c r="K9" s="3"/>
      <c r="L9" s="3"/>
      <c r="M9" s="3"/>
      <c r="N9" s="3"/>
      <c r="O9" s="3"/>
    </row>
    <row r="10" customHeight="1" spans="1:15">
      <c r="A10" s="7"/>
      <c r="B10" s="7"/>
      <c r="C10" s="8"/>
      <c r="D10" s="8"/>
      <c r="E10" s="8"/>
      <c r="F10" s="8"/>
      <c r="H10" s="3"/>
      <c r="I10" s="3"/>
      <c r="J10" s="3"/>
      <c r="K10" s="3"/>
      <c r="L10" s="3"/>
      <c r="M10" s="3"/>
      <c r="N10" s="3"/>
      <c r="O10" s="3"/>
    </row>
    <row r="11" customHeight="1" spans="1:15">
      <c r="A11" s="7"/>
      <c r="B11" s="7"/>
      <c r="C11" s="8"/>
      <c r="D11" s="8"/>
      <c r="E11" s="8"/>
      <c r="F11" s="8"/>
      <c r="H11" s="3"/>
      <c r="I11" s="3"/>
      <c r="J11" s="3"/>
      <c r="K11" s="3"/>
      <c r="L11" s="3"/>
      <c r="M11" s="3"/>
      <c r="N11" s="3"/>
      <c r="O11" s="3"/>
    </row>
    <row r="12" customHeight="1" spans="1:15">
      <c r="A12" s="7"/>
      <c r="B12" s="7"/>
      <c r="C12" s="8"/>
      <c r="D12" s="8"/>
      <c r="E12" s="8"/>
      <c r="F12" s="8"/>
      <c r="H12" s="3"/>
      <c r="I12" s="3"/>
      <c r="J12" s="3"/>
      <c r="K12" s="3"/>
      <c r="L12" s="3"/>
      <c r="M12" s="3"/>
      <c r="N12" s="3"/>
      <c r="O12" s="3"/>
    </row>
    <row r="13" customHeight="1" spans="1:15">
      <c r="A13" s="5"/>
      <c r="B13" s="5"/>
      <c r="C13" s="5"/>
      <c r="D13" s="5"/>
      <c r="E13" s="5"/>
      <c r="F13" s="5"/>
      <c r="H13" s="3"/>
      <c r="I13" s="3"/>
      <c r="J13" s="3"/>
      <c r="K13" s="3"/>
      <c r="L13" s="3"/>
      <c r="M13" s="3"/>
      <c r="N13" s="3"/>
      <c r="O13" s="3"/>
    </row>
    <row r="14" customHeight="1" spans="1:15">
      <c r="A14" s="4"/>
      <c r="B14" s="4"/>
      <c r="H14" s="3"/>
      <c r="I14" s="3"/>
      <c r="J14" s="3"/>
      <c r="K14" s="3"/>
      <c r="L14" s="3"/>
      <c r="M14" s="3"/>
      <c r="N14" s="3"/>
      <c r="O14" s="3"/>
    </row>
    <row r="15" customHeight="1" spans="1:15">
      <c r="A15" s="4"/>
      <c r="B15" s="4"/>
      <c r="H15" s="3"/>
      <c r="I15" s="3"/>
      <c r="J15" s="3"/>
      <c r="K15" s="3"/>
      <c r="L15" s="3"/>
      <c r="M15" s="3"/>
      <c r="N15" s="3"/>
      <c r="O15" s="3"/>
    </row>
    <row r="16" customHeight="1" spans="1:15">
      <c r="A16" s="4"/>
      <c r="B16" s="4"/>
    </row>
    <row r="17" customHeight="1" spans="1:6">
      <c r="A17" s="4"/>
      <c r="B17" s="4"/>
    </row>
    <row r="18" customHeight="1" spans="1:6">
      <c r="A18" s="4"/>
      <c r="B18" s="4"/>
    </row>
    <row r="19" customHeight="1" spans="1:6">
      <c r="A19" s="4"/>
      <c r="B19" s="4"/>
    </row>
    <row r="20" customHeight="1" spans="1:6">
      <c r="A20" s="4"/>
      <c r="B20" s="4"/>
    </row>
    <row r="21" customHeight="1" spans="1:6">
      <c r="A21" s="4"/>
      <c r="B21" s="4"/>
    </row>
    <row r="22" customHeight="1" spans="1:6">
      <c r="A22" s="4"/>
      <c r="B22" s="4"/>
    </row>
    <row r="23" customHeight="1" spans="1:6">
      <c r="A23" s="5"/>
      <c r="B23" s="5"/>
      <c r="C23" s="5"/>
      <c r="D23" s="5"/>
      <c r="E23" s="5"/>
      <c r="F23" s="5"/>
    </row>
    <row r="25" customHeight="1" spans="1:6">
      <c r="A25" s="8"/>
      <c r="B25" s="8"/>
    </row>
    <row r="29" customHeight="1" spans="1:6">
      <c r="A29" s="5"/>
      <c r="B29" s="5"/>
      <c r="C29" s="5"/>
      <c r="D29" s="5"/>
      <c r="E29" s="5"/>
      <c r="F29" s="5"/>
    </row>
    <row r="30" customHeight="1" spans="1:6">
      <c r="C30" s="9"/>
      <c r="D30" s="9"/>
      <c r="E30" s="9"/>
      <c r="F30" s="9"/>
    </row>
    <row r="31" customHeight="1" spans="1:6">
      <c r="A31" s="5"/>
      <c r="B31" s="5"/>
      <c r="C31" s="5"/>
      <c r="D31" s="5"/>
      <c r="E31" s="5"/>
      <c r="F31" s="5"/>
    </row>
    <row r="32" customHeight="1" spans="1:6">
      <c r="C32" s="9"/>
      <c r="D32" s="9"/>
      <c r="E32" s="9"/>
      <c r="F32" s="9"/>
    </row>
    <row r="33" customHeight="1" spans="1:6">
      <c r="A33" s="10"/>
      <c r="B33" s="10"/>
      <c r="C33" s="10"/>
      <c r="D33" s="10"/>
      <c r="E33" s="10"/>
    </row>
    <row r="34" customHeight="1" spans="1:6">
      <c r="A34" s="5"/>
      <c r="B34" s="5"/>
      <c r="C34" s="5"/>
      <c r="D34" s="5"/>
      <c r="E34" s="5"/>
      <c r="F34" s="5"/>
    </row>
    <row r="35" customHeight="1" spans="1:6">
      <c r="C35" s="9"/>
      <c r="D35" s="9"/>
      <c r="E35" s="9"/>
      <c r="F35" s="9"/>
    </row>
    <row r="36" customHeight="1" spans="1:6">
      <c r="A36" s="11"/>
      <c r="B36" s="11"/>
      <c r="C36" s="11"/>
      <c r="D36" s="11"/>
      <c r="E36" s="11"/>
    </row>
    <row r="37" customHeight="1" spans="1:6">
      <c r="A37" s="5"/>
      <c r="B37" s="5"/>
      <c r="C37" s="5"/>
      <c r="D37" s="5"/>
      <c r="E37" s="5"/>
      <c r="F37" s="5"/>
    </row>
    <row r="38" customHeight="1" spans="1:6">
      <c r="C38" s="9"/>
      <c r="D38" s="9"/>
      <c r="E38" s="9"/>
      <c r="F38" s="9"/>
    </row>
    <row r="39" customHeight="1" spans="1:6">
      <c r="A39" s="6"/>
      <c r="B39" s="6"/>
      <c r="C39" s="6"/>
      <c r="D39" s="6"/>
      <c r="E39" s="6"/>
      <c r="F39" s="6"/>
    </row>
    <row r="40" customHeight="1" spans="1:6">
      <c r="A40" s="8"/>
      <c r="B40" s="8"/>
      <c r="C40" s="12"/>
      <c r="D40" s="12"/>
      <c r="E40" s="12"/>
      <c r="F40" s="12"/>
    </row>
    <row r="41" customHeight="1" spans="1:6">
      <c r="A41" s="5"/>
      <c r="B41" s="5"/>
      <c r="C41" s="5"/>
      <c r="D41" s="5"/>
      <c r="E41" s="5"/>
      <c r="F41" s="5"/>
    </row>
    <row r="42" customHeight="1" spans="1:6">
      <c r="C42" s="9"/>
      <c r="D42" s="9"/>
      <c r="E42" s="9"/>
      <c r="F42" s="9"/>
    </row>
    <row r="43" customHeight="1" spans="1:6">
      <c r="A43" s="5"/>
      <c r="B43" s="5"/>
      <c r="C43" s="5"/>
      <c r="D43" s="5"/>
      <c r="E43" s="5"/>
      <c r="F43" s="5"/>
    </row>
    <row r="44" customHeight="1" spans="1:6">
      <c r="C44" s="9"/>
      <c r="D44" s="9"/>
      <c r="E44" s="9"/>
      <c r="F44" s="9"/>
    </row>
    <row r="45" ht="28" customHeight="1" spans="1:6">
      <c r="A45" s="13"/>
      <c r="B45" s="13"/>
      <c r="C45" s="13"/>
      <c r="D45" s="13"/>
      <c r="E45" s="13"/>
      <c r="F45" s="13"/>
    </row>
    <row r="46" customHeight="1" spans="1:6">
      <c r="A46" s="14"/>
      <c r="B46" s="14"/>
      <c r="C46" s="14"/>
      <c r="D46" s="14"/>
      <c r="E46" s="14"/>
      <c r="F46" s="14"/>
    </row>
    <row r="47" customHeight="1" spans="1:6">
      <c r="A47" s="14"/>
      <c r="B47" s="14"/>
      <c r="C47" s="14"/>
      <c r="D47" s="14"/>
      <c r="E47" s="15"/>
      <c r="F47" s="14"/>
    </row>
    <row r="48" customHeight="1" spans="1:6">
      <c r="A48" s="14"/>
      <c r="B48" s="14"/>
      <c r="C48" s="14"/>
      <c r="D48" s="14"/>
      <c r="E48" s="15"/>
      <c r="F48" s="14"/>
    </row>
    <row r="49" customHeight="1" spans="1:6">
      <c r="A49" s="14"/>
      <c r="B49" s="14"/>
      <c r="C49" s="14"/>
      <c r="D49" s="14"/>
      <c r="E49" s="15"/>
      <c r="F49" s="14"/>
    </row>
    <row r="50" customHeight="1" spans="1:6">
      <c r="A50" s="14"/>
      <c r="B50" s="14"/>
      <c r="C50" s="14"/>
      <c r="D50" s="14"/>
      <c r="E50" s="15"/>
      <c r="F50" s="14"/>
    </row>
    <row r="51" customHeight="1" spans="1:6">
      <c r="A51" s="14"/>
      <c r="B51" s="14"/>
      <c r="C51" s="14"/>
      <c r="D51" s="14"/>
      <c r="E51" s="15"/>
      <c r="F51" s="14"/>
    </row>
    <row r="52" customHeight="1" spans="1:6">
      <c r="A52" s="14"/>
      <c r="B52" s="14"/>
      <c r="C52" s="14"/>
      <c r="D52" s="14"/>
      <c r="E52" s="15"/>
      <c r="F52" s="14"/>
    </row>
    <row r="53" customHeight="1" spans="1:6">
      <c r="A53" s="14"/>
      <c r="B53" s="14"/>
      <c r="C53" s="14"/>
      <c r="D53" s="14"/>
      <c r="E53" s="15"/>
      <c r="F53" s="14"/>
    </row>
    <row r="54" customHeight="1" spans="1:6">
      <c r="A54" s="14"/>
      <c r="B54" s="14"/>
      <c r="C54" s="14"/>
      <c r="D54" s="14"/>
      <c r="E54" s="15"/>
      <c r="F54" s="14"/>
    </row>
    <row r="55" customHeight="1" spans="1:6">
      <c r="A55" s="14"/>
      <c r="B55" s="14"/>
      <c r="C55" s="14"/>
      <c r="D55" s="14"/>
      <c r="E55" s="15"/>
      <c r="F55" s="14"/>
    </row>
    <row r="56" customHeight="1" spans="1:6">
      <c r="A56" s="14"/>
      <c r="B56" s="14"/>
      <c r="C56" s="16"/>
      <c r="D56" s="14"/>
      <c r="E56" s="15"/>
      <c r="F56" s="14"/>
    </row>
    <row r="57" customHeight="1" spans="1:6">
      <c r="A57" s="14"/>
      <c r="B57" s="14"/>
      <c r="C57" s="14"/>
      <c r="D57" s="14"/>
      <c r="E57" s="14"/>
      <c r="F57" s="14"/>
    </row>
    <row r="58" customHeight="1" spans="1:6">
      <c r="A58" s="14"/>
      <c r="B58" s="14"/>
      <c r="C58" s="14"/>
      <c r="D58" s="14"/>
      <c r="E58" s="15"/>
      <c r="F58" s="14"/>
    </row>
    <row r="59" customHeight="1" spans="1:6">
      <c r="A59" s="17"/>
      <c r="B59" s="18"/>
      <c r="C59" s="18"/>
      <c r="D59" s="18"/>
      <c r="E59" s="18"/>
      <c r="F59" s="18"/>
    </row>
    <row r="60" customHeight="1" spans="1:6">
      <c r="A60" s="19"/>
      <c r="B60" s="19"/>
      <c r="C60" s="19"/>
      <c r="D60" s="19"/>
      <c r="E60" s="19"/>
      <c r="F60" s="19"/>
    </row>
    <row r="61" customHeight="1" spans="1:6">
      <c r="A61" s="19"/>
      <c r="B61" s="19"/>
      <c r="C61" s="19"/>
      <c r="D61" s="19"/>
      <c r="E61" s="20"/>
      <c r="F61" s="19"/>
    </row>
    <row r="62" customHeight="1" spans="1:6">
      <c r="A62" s="19"/>
      <c r="B62" s="19"/>
      <c r="C62" s="19"/>
      <c r="D62" s="19"/>
      <c r="E62" s="20"/>
      <c r="F62" s="19"/>
    </row>
    <row r="63" customHeight="1" spans="1:6">
      <c r="A63" s="19"/>
      <c r="B63" s="19"/>
      <c r="C63" s="19"/>
      <c r="D63" s="19"/>
      <c r="E63" s="20"/>
      <c r="F63" s="19"/>
    </row>
    <row r="64" customHeight="1" spans="1:6">
      <c r="A64" s="19"/>
      <c r="B64" s="19"/>
      <c r="C64" s="19"/>
      <c r="D64" s="19"/>
      <c r="E64" s="20"/>
      <c r="F64" s="19"/>
    </row>
    <row r="65" customHeight="1" spans="1:6">
      <c r="A65" s="19"/>
      <c r="B65" s="19"/>
      <c r="C65" s="19"/>
      <c r="D65" s="19"/>
      <c r="E65" s="20"/>
      <c r="F65" s="19"/>
    </row>
    <row r="66" customHeight="1" spans="1:6">
      <c r="A66" s="19"/>
      <c r="B66" s="19"/>
      <c r="C66" s="19"/>
      <c r="D66" s="19"/>
      <c r="E66" s="20"/>
      <c r="F66" s="19"/>
    </row>
    <row r="67" customHeight="1" spans="1:6">
      <c r="A67" s="19"/>
      <c r="B67" s="19"/>
      <c r="C67" s="19"/>
      <c r="D67" s="19"/>
      <c r="E67" s="20"/>
      <c r="F67" s="19"/>
    </row>
    <row r="68" customHeight="1" spans="1:6">
      <c r="A68" s="19"/>
      <c r="B68" s="19"/>
      <c r="C68" s="19"/>
      <c r="D68" s="19"/>
      <c r="E68" s="20"/>
      <c r="F68" s="19"/>
    </row>
    <row r="69" customHeight="1" spans="1:6">
      <c r="A69" s="19"/>
      <c r="B69" s="19"/>
      <c r="C69" s="19"/>
      <c r="D69" s="19"/>
      <c r="E69" s="20"/>
      <c r="F69" s="19"/>
    </row>
    <row r="70" customHeight="1" spans="1:6">
      <c r="A70" s="19"/>
      <c r="B70" s="19"/>
      <c r="C70" s="19"/>
      <c r="D70" s="19"/>
      <c r="E70" s="20"/>
      <c r="F70" s="19"/>
    </row>
    <row r="71" customHeight="1" spans="1:6">
      <c r="A71" s="19"/>
      <c r="B71" s="19"/>
      <c r="C71" s="21"/>
      <c r="D71" s="19"/>
      <c r="E71" s="20"/>
      <c r="F71" s="19"/>
    </row>
    <row r="72" customHeight="1" spans="1:6">
      <c r="A72" s="19"/>
      <c r="B72" s="19"/>
      <c r="C72" s="19"/>
      <c r="D72" s="19"/>
      <c r="E72" s="20"/>
      <c r="F72" s="19"/>
    </row>
    <row r="73" customHeight="1" spans="1:6">
      <c r="A73" s="19"/>
      <c r="B73" s="19"/>
      <c r="C73" s="19"/>
      <c r="D73" s="19"/>
      <c r="E73" s="20"/>
      <c r="F73" s="19"/>
    </row>
    <row r="74" customHeight="1" spans="1:6">
      <c r="A74" s="19"/>
      <c r="B74" s="19"/>
      <c r="C74" s="19"/>
      <c r="D74" s="19"/>
      <c r="E74" s="22"/>
      <c r="F74" s="19"/>
    </row>
    <row r="75" customHeight="1" spans="1:6">
      <c r="A75" s="19"/>
      <c r="B75" s="19"/>
      <c r="C75" s="19"/>
      <c r="D75" s="19"/>
      <c r="E75" s="19"/>
      <c r="F75" s="19"/>
    </row>
    <row r="76" customHeight="1" spans="1:6">
      <c r="A76" s="5"/>
      <c r="B76" s="5"/>
      <c r="C76" s="5"/>
      <c r="D76" s="5"/>
      <c r="E76" s="5"/>
      <c r="F76" s="5"/>
    </row>
    <row r="82" customHeight="1" spans="1:6">
      <c r="A82" s="5"/>
      <c r="B82" s="5"/>
      <c r="C82" s="5"/>
      <c r="D82" s="5"/>
      <c r="E82" s="5"/>
      <c r="F82" s="5"/>
    </row>
    <row r="94" customHeight="1" spans="1:6">
      <c r="A94" s="23"/>
      <c r="B94" s="23"/>
      <c r="C94" s="23"/>
      <c r="D94" s="23"/>
      <c r="E94" s="23"/>
      <c r="F94" s="23"/>
    </row>
    <row r="95" customHeight="1" spans="1:6">
      <c r="A95" s="24"/>
      <c r="B95" s="24"/>
      <c r="C95" s="25"/>
      <c r="D95" s="24"/>
      <c r="E95" s="24"/>
      <c r="F95" s="25"/>
    </row>
    <row r="96" customHeight="1" spans="1:6">
      <c r="A96" s="5"/>
      <c r="B96" s="5"/>
      <c r="C96" s="5"/>
      <c r="D96" s="5"/>
      <c r="E96" s="5"/>
      <c r="F96" s="5"/>
    </row>
  </sheetData>
  <mergeCells count="42">
    <mergeCell ref="A1:F1"/>
    <mergeCell ref="H1:O1"/>
    <mergeCell ref="B3:F3"/>
    <mergeCell ref="A8:F8"/>
    <mergeCell ref="A9:F9"/>
    <mergeCell ref="A13:F13"/>
    <mergeCell ref="A23:F23"/>
    <mergeCell ref="A29:F29"/>
    <mergeCell ref="C30:F30"/>
    <mergeCell ref="A31:F31"/>
    <mergeCell ref="C32:F32"/>
    <mergeCell ref="A33:E33"/>
    <mergeCell ref="A34:F34"/>
    <mergeCell ref="C35:F35"/>
    <mergeCell ref="A36:E36"/>
    <mergeCell ref="A37:F37"/>
    <mergeCell ref="C38:F38"/>
    <mergeCell ref="A39:F39"/>
    <mergeCell ref="C40:F40"/>
    <mergeCell ref="A41:F41"/>
    <mergeCell ref="C42:F42"/>
    <mergeCell ref="A43:F43"/>
    <mergeCell ref="C44:F44"/>
    <mergeCell ref="A45:F45"/>
    <mergeCell ref="A59:F59"/>
    <mergeCell ref="A76:F76"/>
    <mergeCell ref="A82:F82"/>
    <mergeCell ref="A94:F94"/>
    <mergeCell ref="A95:B95"/>
    <mergeCell ref="D95:E95"/>
    <mergeCell ref="A96:F96"/>
    <mergeCell ref="A4:A5"/>
    <mergeCell ref="A6:A7"/>
    <mergeCell ref="A14:A16"/>
    <mergeCell ref="A17:A19"/>
    <mergeCell ref="A20:A22"/>
    <mergeCell ref="B14:B16"/>
    <mergeCell ref="B17:B19"/>
    <mergeCell ref="B20:B22"/>
    <mergeCell ref="H2:O15"/>
    <mergeCell ref="B4:F5"/>
    <mergeCell ref="B6:F7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6"/>
  <sheetViews>
    <sheetView workbookViewId="0">
      <selection activeCell="A1" sqref="$A1:$XFD1048576"/>
    </sheetView>
  </sheetViews>
  <sheetFormatPr defaultColWidth="9" defaultRowHeight="27" customHeight="1"/>
  <cols>
    <col min="1" max="1" width="15.8909090909091" customWidth="1"/>
    <col min="2" max="2" width="19.6636363636364" customWidth="1"/>
    <col min="3" max="3" width="18" customWidth="1"/>
    <col min="4" max="4" width="19.4454545454545" customWidth="1"/>
    <col min="5" max="5" width="16.2181818181818" customWidth="1"/>
    <col min="6" max="6" width="20.7818181818182" customWidth="1"/>
  </cols>
  <sheetData>
    <row r="1" customHeight="1" spans="1:15">
      <c r="A1" s="1"/>
      <c r="B1" s="1"/>
      <c r="C1" s="1"/>
      <c r="D1" s="1"/>
      <c r="E1" s="1"/>
      <c r="F1" s="1"/>
      <c r="H1" s="2"/>
      <c r="I1" s="2"/>
      <c r="J1" s="2"/>
      <c r="K1" s="2"/>
      <c r="L1" s="2"/>
      <c r="M1" s="2"/>
      <c r="N1" s="2"/>
      <c r="O1" s="2"/>
    </row>
    <row r="2" customHeight="1" spans="1:15">
      <c r="H2" s="3"/>
      <c r="I2" s="3"/>
      <c r="J2" s="3"/>
      <c r="K2" s="3"/>
      <c r="L2" s="3"/>
      <c r="M2" s="3"/>
      <c r="N2" s="3"/>
      <c r="O2" s="3"/>
    </row>
    <row r="3" ht="42" customHeight="1" spans="1:15">
      <c r="A3" s="4"/>
      <c r="B3" s="4"/>
      <c r="C3" s="4"/>
      <c r="D3" s="4"/>
      <c r="E3" s="4"/>
      <c r="F3" s="4"/>
      <c r="H3" s="3"/>
      <c r="I3" s="3"/>
      <c r="J3" s="3"/>
      <c r="K3" s="3"/>
      <c r="L3" s="3"/>
      <c r="M3" s="3"/>
      <c r="N3" s="3"/>
      <c r="O3" s="3"/>
    </row>
    <row r="4" ht="42" customHeight="1" spans="1:15">
      <c r="A4" s="4"/>
      <c r="B4" s="4"/>
      <c r="C4" s="4"/>
      <c r="D4" s="4"/>
      <c r="E4" s="4"/>
      <c r="F4" s="4"/>
      <c r="H4" s="3"/>
      <c r="I4" s="3"/>
      <c r="J4" s="3"/>
      <c r="K4" s="3"/>
      <c r="L4" s="3"/>
      <c r="M4" s="3"/>
      <c r="N4" s="3"/>
      <c r="O4" s="3"/>
    </row>
    <row r="5" ht="42" customHeight="1" spans="1:15">
      <c r="A5" s="4"/>
      <c r="B5" s="4"/>
      <c r="C5" s="4"/>
      <c r="D5" s="4"/>
      <c r="E5" s="4"/>
      <c r="F5" s="4"/>
      <c r="H5" s="3"/>
      <c r="I5" s="3"/>
      <c r="J5" s="3"/>
      <c r="K5" s="3"/>
      <c r="L5" s="3"/>
      <c r="M5" s="3"/>
      <c r="N5" s="3"/>
      <c r="O5" s="3"/>
    </row>
    <row r="6" ht="42" customHeight="1" spans="1:15">
      <c r="A6" s="4"/>
      <c r="B6" s="4"/>
      <c r="C6" s="4"/>
      <c r="D6" s="4"/>
      <c r="E6" s="4"/>
      <c r="F6" s="4"/>
      <c r="H6" s="3"/>
      <c r="I6" s="3"/>
      <c r="J6" s="3"/>
      <c r="K6" s="3"/>
      <c r="L6" s="3"/>
      <c r="M6" s="3"/>
      <c r="N6" s="3"/>
      <c r="O6" s="3"/>
    </row>
    <row r="7" ht="42" customHeight="1" spans="1:15">
      <c r="A7" s="4"/>
      <c r="B7" s="4"/>
      <c r="C7" s="4"/>
      <c r="D7" s="4"/>
      <c r="E7" s="4"/>
      <c r="F7" s="4"/>
      <c r="H7" s="3"/>
      <c r="I7" s="3"/>
      <c r="J7" s="3"/>
      <c r="K7" s="3"/>
      <c r="L7" s="3"/>
      <c r="M7" s="3"/>
      <c r="N7" s="3"/>
      <c r="O7" s="3"/>
    </row>
    <row r="8" customHeight="1" spans="1:15">
      <c r="A8" s="5"/>
      <c r="B8" s="5"/>
      <c r="C8" s="5"/>
      <c r="D8" s="5"/>
      <c r="E8" s="5"/>
      <c r="F8" s="5"/>
      <c r="H8" s="3"/>
      <c r="I8" s="3"/>
      <c r="J8" s="3"/>
      <c r="K8" s="3"/>
      <c r="L8" s="3"/>
      <c r="M8" s="3"/>
      <c r="N8" s="3"/>
      <c r="O8" s="3"/>
    </row>
    <row r="9" customHeight="1" spans="1:15">
      <c r="A9" s="6"/>
      <c r="B9" s="6"/>
      <c r="C9" s="6"/>
      <c r="D9" s="6"/>
      <c r="E9" s="6"/>
      <c r="F9" s="6"/>
      <c r="H9" s="3"/>
      <c r="I9" s="3"/>
      <c r="J9" s="3"/>
      <c r="K9" s="3"/>
      <c r="L9" s="3"/>
      <c r="M9" s="3"/>
      <c r="N9" s="3"/>
      <c r="O9" s="3"/>
    </row>
    <row r="10" customHeight="1" spans="1:15">
      <c r="A10" s="7"/>
      <c r="B10" s="7"/>
      <c r="C10" s="8"/>
      <c r="D10" s="8"/>
      <c r="E10" s="8"/>
      <c r="F10" s="8"/>
      <c r="H10" s="3"/>
      <c r="I10" s="3"/>
      <c r="J10" s="3"/>
      <c r="K10" s="3"/>
      <c r="L10" s="3"/>
      <c r="M10" s="3"/>
      <c r="N10" s="3"/>
      <c r="O10" s="3"/>
    </row>
    <row r="11" customHeight="1" spans="1:15">
      <c r="A11" s="7"/>
      <c r="B11" s="7"/>
      <c r="C11" s="8"/>
      <c r="D11" s="8"/>
      <c r="E11" s="8"/>
      <c r="F11" s="8"/>
      <c r="H11" s="3"/>
      <c r="I11" s="3"/>
      <c r="J11" s="3"/>
      <c r="K11" s="3"/>
      <c r="L11" s="3"/>
      <c r="M11" s="3"/>
      <c r="N11" s="3"/>
      <c r="O11" s="3"/>
    </row>
    <row r="12" customHeight="1" spans="1:15">
      <c r="A12" s="7"/>
      <c r="B12" s="7"/>
      <c r="C12" s="8"/>
      <c r="D12" s="8"/>
      <c r="E12" s="8"/>
      <c r="F12" s="8"/>
      <c r="H12" s="3"/>
      <c r="I12" s="3"/>
      <c r="J12" s="3"/>
      <c r="K12" s="3"/>
      <c r="L12" s="3"/>
      <c r="M12" s="3"/>
      <c r="N12" s="3"/>
      <c r="O12" s="3"/>
    </row>
    <row r="13" customHeight="1" spans="1:15">
      <c r="A13" s="5"/>
      <c r="B13" s="5"/>
      <c r="C13" s="5"/>
      <c r="D13" s="5"/>
      <c r="E13" s="5"/>
      <c r="F13" s="5"/>
      <c r="H13" s="3"/>
      <c r="I13" s="3"/>
      <c r="J13" s="3"/>
      <c r="K13" s="3"/>
      <c r="L13" s="3"/>
      <c r="M13" s="3"/>
      <c r="N13" s="3"/>
      <c r="O13" s="3"/>
    </row>
    <row r="14" customHeight="1" spans="1:15">
      <c r="A14" s="4"/>
      <c r="B14" s="4"/>
      <c r="H14" s="3"/>
      <c r="I14" s="3"/>
      <c r="J14" s="3"/>
      <c r="K14" s="3"/>
      <c r="L14" s="3"/>
      <c r="M14" s="3"/>
      <c r="N14" s="3"/>
      <c r="O14" s="3"/>
    </row>
    <row r="15" customHeight="1" spans="1:15">
      <c r="A15" s="4"/>
      <c r="B15" s="4"/>
      <c r="H15" s="3"/>
      <c r="I15" s="3"/>
      <c r="J15" s="3"/>
      <c r="K15" s="3"/>
      <c r="L15" s="3"/>
      <c r="M15" s="3"/>
      <c r="N15" s="3"/>
      <c r="O15" s="3"/>
    </row>
    <row r="16" customHeight="1" spans="1:15">
      <c r="A16" s="4"/>
      <c r="B16" s="4"/>
    </row>
    <row r="17" customHeight="1" spans="1:6">
      <c r="A17" s="4"/>
      <c r="B17" s="4"/>
    </row>
    <row r="18" customHeight="1" spans="1:6">
      <c r="A18" s="4"/>
      <c r="B18" s="4"/>
    </row>
    <row r="19" customHeight="1" spans="1:6">
      <c r="A19" s="4"/>
      <c r="B19" s="4"/>
    </row>
    <row r="20" customHeight="1" spans="1:6">
      <c r="A20" s="4"/>
      <c r="B20" s="4"/>
    </row>
    <row r="21" customHeight="1" spans="1:6">
      <c r="A21" s="4"/>
      <c r="B21" s="4"/>
    </row>
    <row r="22" customHeight="1" spans="1:6">
      <c r="A22" s="4"/>
      <c r="B22" s="4"/>
    </row>
    <row r="23" customHeight="1" spans="1:6">
      <c r="A23" s="5"/>
      <c r="B23" s="5"/>
      <c r="C23" s="5"/>
      <c r="D23" s="5"/>
      <c r="E23" s="5"/>
      <c r="F23" s="5"/>
    </row>
    <row r="25" customHeight="1" spans="1:6">
      <c r="A25" s="8"/>
      <c r="B25" s="8"/>
    </row>
    <row r="29" customHeight="1" spans="1:6">
      <c r="A29" s="5"/>
      <c r="B29" s="5"/>
      <c r="C29" s="5"/>
      <c r="D29" s="5"/>
      <c r="E29" s="5"/>
      <c r="F29" s="5"/>
    </row>
    <row r="30" customHeight="1" spans="1:6">
      <c r="C30" s="9"/>
      <c r="D30" s="9"/>
      <c r="E30" s="9"/>
      <c r="F30" s="9"/>
    </row>
    <row r="31" customHeight="1" spans="1:6">
      <c r="A31" s="5"/>
      <c r="B31" s="5"/>
      <c r="C31" s="5"/>
      <c r="D31" s="5"/>
      <c r="E31" s="5"/>
      <c r="F31" s="5"/>
    </row>
    <row r="32" customHeight="1" spans="1:6">
      <c r="C32" s="9"/>
      <c r="D32" s="9"/>
      <c r="E32" s="9"/>
      <c r="F32" s="9"/>
    </row>
    <row r="33" customHeight="1" spans="1:6">
      <c r="A33" s="10"/>
      <c r="B33" s="10"/>
      <c r="C33" s="10"/>
      <c r="D33" s="10"/>
      <c r="E33" s="10"/>
    </row>
    <row r="34" customHeight="1" spans="1:6">
      <c r="A34" s="5"/>
      <c r="B34" s="5"/>
      <c r="C34" s="5"/>
      <c r="D34" s="5"/>
      <c r="E34" s="5"/>
      <c r="F34" s="5"/>
    </row>
    <row r="35" customHeight="1" spans="1:6">
      <c r="C35" s="9"/>
      <c r="D35" s="9"/>
      <c r="E35" s="9"/>
      <c r="F35" s="9"/>
    </row>
    <row r="36" customHeight="1" spans="1:6">
      <c r="A36" s="11"/>
      <c r="B36" s="11"/>
      <c r="C36" s="11"/>
      <c r="D36" s="11"/>
      <c r="E36" s="11"/>
    </row>
    <row r="37" customHeight="1" spans="1:6">
      <c r="A37" s="5"/>
      <c r="B37" s="5"/>
      <c r="C37" s="5"/>
      <c r="D37" s="5"/>
      <c r="E37" s="5"/>
      <c r="F37" s="5"/>
    </row>
    <row r="38" customHeight="1" spans="1:6">
      <c r="C38" s="9"/>
      <c r="D38" s="9"/>
      <c r="E38" s="9"/>
      <c r="F38" s="9"/>
    </row>
    <row r="39" customHeight="1" spans="1:6">
      <c r="A39" s="6"/>
      <c r="B39" s="6"/>
      <c r="C39" s="6"/>
      <c r="D39" s="6"/>
      <c r="E39" s="6"/>
      <c r="F39" s="6"/>
    </row>
    <row r="40" customHeight="1" spans="1:6">
      <c r="A40" s="8"/>
      <c r="B40" s="8"/>
      <c r="C40" s="12"/>
      <c r="D40" s="12"/>
      <c r="E40" s="12"/>
      <c r="F40" s="12"/>
    </row>
    <row r="41" customHeight="1" spans="1:6">
      <c r="A41" s="5"/>
      <c r="B41" s="5"/>
      <c r="C41" s="5"/>
      <c r="D41" s="5"/>
      <c r="E41" s="5"/>
      <c r="F41" s="5"/>
    </row>
    <row r="42" customHeight="1" spans="1:6">
      <c r="C42" s="9"/>
      <c r="D42" s="9"/>
      <c r="E42" s="9"/>
      <c r="F42" s="9"/>
    </row>
    <row r="43" customHeight="1" spans="1:6">
      <c r="A43" s="5"/>
      <c r="B43" s="5"/>
      <c r="C43" s="5"/>
      <c r="D43" s="5"/>
      <c r="E43" s="5"/>
      <c r="F43" s="5"/>
    </row>
    <row r="44" customHeight="1" spans="1:6">
      <c r="C44" s="9"/>
      <c r="D44" s="9"/>
      <c r="E44" s="9"/>
      <c r="F44" s="9"/>
    </row>
    <row r="45" ht="28" customHeight="1" spans="1:6">
      <c r="A45" s="13"/>
      <c r="B45" s="13"/>
      <c r="C45" s="13"/>
      <c r="D45" s="13"/>
      <c r="E45" s="13"/>
      <c r="F45" s="13"/>
    </row>
    <row r="46" customHeight="1" spans="1:6">
      <c r="A46" s="14"/>
      <c r="B46" s="14"/>
      <c r="C46" s="14"/>
      <c r="D46" s="14"/>
      <c r="E46" s="14"/>
      <c r="F46" s="14"/>
    </row>
    <row r="47" customHeight="1" spans="1:6">
      <c r="A47" s="14"/>
      <c r="B47" s="14"/>
      <c r="C47" s="14"/>
      <c r="D47" s="14"/>
      <c r="E47" s="15"/>
      <c r="F47" s="14"/>
    </row>
    <row r="48" customHeight="1" spans="1:6">
      <c r="A48" s="14"/>
      <c r="B48" s="14"/>
      <c r="C48" s="14"/>
      <c r="D48" s="14"/>
      <c r="E48" s="15"/>
      <c r="F48" s="14"/>
    </row>
    <row r="49" customHeight="1" spans="1:6">
      <c r="A49" s="14"/>
      <c r="B49" s="14"/>
      <c r="C49" s="14"/>
      <c r="D49" s="14"/>
      <c r="E49" s="15"/>
      <c r="F49" s="14"/>
    </row>
    <row r="50" customHeight="1" spans="1:6">
      <c r="A50" s="14"/>
      <c r="B50" s="14"/>
      <c r="C50" s="14"/>
      <c r="D50" s="14"/>
      <c r="E50" s="15"/>
      <c r="F50" s="14"/>
    </row>
    <row r="51" customHeight="1" spans="1:6">
      <c r="A51" s="14"/>
      <c r="B51" s="14"/>
      <c r="C51" s="14"/>
      <c r="D51" s="14"/>
      <c r="E51" s="15"/>
      <c r="F51" s="14"/>
    </row>
    <row r="52" customHeight="1" spans="1:6">
      <c r="A52" s="14"/>
      <c r="B52" s="14"/>
      <c r="C52" s="14"/>
      <c r="D52" s="14"/>
      <c r="E52" s="15"/>
      <c r="F52" s="14"/>
    </row>
    <row r="53" customHeight="1" spans="1:6">
      <c r="A53" s="14"/>
      <c r="B53" s="14"/>
      <c r="C53" s="14"/>
      <c r="D53" s="14"/>
      <c r="E53" s="15"/>
      <c r="F53" s="14"/>
    </row>
    <row r="54" customHeight="1" spans="1:6">
      <c r="A54" s="14"/>
      <c r="B54" s="14"/>
      <c r="C54" s="14"/>
      <c r="D54" s="14"/>
      <c r="E54" s="15"/>
      <c r="F54" s="14"/>
    </row>
    <row r="55" customHeight="1" spans="1:6">
      <c r="A55" s="14"/>
      <c r="B55" s="14"/>
      <c r="C55" s="14"/>
      <c r="D55" s="14"/>
      <c r="E55" s="15"/>
      <c r="F55" s="14"/>
    </row>
    <row r="56" customHeight="1" spans="1:6">
      <c r="A56" s="14"/>
      <c r="B56" s="14"/>
      <c r="C56" s="16"/>
      <c r="D56" s="14"/>
      <c r="E56" s="15"/>
      <c r="F56" s="14"/>
    </row>
    <row r="57" customHeight="1" spans="1:6">
      <c r="A57" s="14"/>
      <c r="B57" s="14"/>
      <c r="C57" s="14"/>
      <c r="D57" s="14"/>
      <c r="E57" s="14"/>
      <c r="F57" s="14"/>
    </row>
    <row r="58" customHeight="1" spans="1:6">
      <c r="A58" s="14"/>
      <c r="B58" s="14"/>
      <c r="C58" s="14"/>
      <c r="D58" s="14"/>
      <c r="E58" s="15"/>
      <c r="F58" s="14"/>
    </row>
    <row r="59" customHeight="1" spans="1:6">
      <c r="A59" s="17"/>
      <c r="B59" s="18"/>
      <c r="C59" s="18"/>
      <c r="D59" s="18"/>
      <c r="E59" s="18"/>
      <c r="F59" s="18"/>
    </row>
    <row r="60" customHeight="1" spans="1:6">
      <c r="A60" s="19"/>
      <c r="B60" s="19"/>
      <c r="C60" s="19"/>
      <c r="D60" s="19"/>
      <c r="E60" s="19"/>
      <c r="F60" s="19"/>
    </row>
    <row r="61" customHeight="1" spans="1:6">
      <c r="A61" s="19"/>
      <c r="B61" s="19"/>
      <c r="C61" s="19"/>
      <c r="D61" s="19"/>
      <c r="E61" s="20"/>
      <c r="F61" s="19"/>
    </row>
    <row r="62" customHeight="1" spans="1:6">
      <c r="A62" s="19"/>
      <c r="B62" s="19"/>
      <c r="C62" s="19"/>
      <c r="D62" s="19"/>
      <c r="E62" s="20"/>
      <c r="F62" s="19"/>
    </row>
    <row r="63" customHeight="1" spans="1:6">
      <c r="A63" s="19"/>
      <c r="B63" s="19"/>
      <c r="C63" s="19"/>
      <c r="D63" s="19"/>
      <c r="E63" s="20"/>
      <c r="F63" s="19"/>
    </row>
    <row r="64" customHeight="1" spans="1:6">
      <c r="A64" s="19"/>
      <c r="B64" s="19"/>
      <c r="C64" s="19"/>
      <c r="D64" s="19"/>
      <c r="E64" s="20"/>
      <c r="F64" s="19"/>
    </row>
    <row r="65" customHeight="1" spans="1:6">
      <c r="A65" s="19"/>
      <c r="B65" s="19"/>
      <c r="C65" s="19"/>
      <c r="D65" s="19"/>
      <c r="E65" s="20"/>
      <c r="F65" s="19"/>
    </row>
    <row r="66" customHeight="1" spans="1:6">
      <c r="A66" s="19"/>
      <c r="B66" s="19"/>
      <c r="C66" s="19"/>
      <c r="D66" s="19"/>
      <c r="E66" s="20"/>
      <c r="F66" s="19"/>
    </row>
    <row r="67" customHeight="1" spans="1:6">
      <c r="A67" s="19"/>
      <c r="B67" s="19"/>
      <c r="C67" s="19"/>
      <c r="D67" s="19"/>
      <c r="E67" s="20"/>
      <c r="F67" s="19"/>
    </row>
    <row r="68" customHeight="1" spans="1:6">
      <c r="A68" s="19"/>
      <c r="B68" s="19"/>
      <c r="C68" s="19"/>
      <c r="D68" s="19"/>
      <c r="E68" s="20"/>
      <c r="F68" s="19"/>
    </row>
    <row r="69" customHeight="1" spans="1:6">
      <c r="A69" s="19"/>
      <c r="B69" s="19"/>
      <c r="C69" s="19"/>
      <c r="D69" s="19"/>
      <c r="E69" s="20"/>
      <c r="F69" s="19"/>
    </row>
    <row r="70" customHeight="1" spans="1:6">
      <c r="A70" s="19"/>
      <c r="B70" s="19"/>
      <c r="C70" s="19"/>
      <c r="D70" s="19"/>
      <c r="E70" s="20"/>
      <c r="F70" s="19"/>
    </row>
    <row r="71" customHeight="1" spans="1:6">
      <c r="A71" s="19"/>
      <c r="B71" s="19"/>
      <c r="C71" s="21"/>
      <c r="D71" s="19"/>
      <c r="E71" s="20"/>
      <c r="F71" s="19"/>
    </row>
    <row r="72" customHeight="1" spans="1:6">
      <c r="A72" s="19"/>
      <c r="B72" s="19"/>
      <c r="C72" s="19"/>
      <c r="D72" s="19"/>
      <c r="E72" s="20"/>
      <c r="F72" s="19"/>
    </row>
    <row r="73" customHeight="1" spans="1:6">
      <c r="A73" s="19"/>
      <c r="B73" s="19"/>
      <c r="C73" s="19"/>
      <c r="D73" s="19"/>
      <c r="E73" s="20"/>
      <c r="F73" s="19"/>
    </row>
    <row r="74" customHeight="1" spans="1:6">
      <c r="A74" s="19"/>
      <c r="B74" s="19"/>
      <c r="C74" s="19"/>
      <c r="D74" s="19"/>
      <c r="E74" s="22"/>
      <c r="F74" s="19"/>
    </row>
    <row r="75" customHeight="1" spans="1:6">
      <c r="A75" s="19"/>
      <c r="B75" s="19"/>
      <c r="C75" s="19"/>
      <c r="D75" s="19"/>
      <c r="E75" s="19"/>
      <c r="F75" s="19"/>
    </row>
    <row r="76" customHeight="1" spans="1:6">
      <c r="A76" s="5"/>
      <c r="B76" s="5"/>
      <c r="C76" s="5"/>
      <c r="D76" s="5"/>
      <c r="E76" s="5"/>
      <c r="F76" s="5"/>
    </row>
    <row r="82" customHeight="1" spans="1:6">
      <c r="A82" s="5"/>
      <c r="B82" s="5"/>
      <c r="C82" s="5"/>
      <c r="D82" s="5"/>
      <c r="E82" s="5"/>
      <c r="F82" s="5"/>
    </row>
    <row r="94" customHeight="1" spans="1:6">
      <c r="A94" s="23"/>
      <c r="B94" s="23"/>
      <c r="C94" s="23"/>
      <c r="D94" s="23"/>
      <c r="E94" s="23"/>
      <c r="F94" s="23"/>
    </row>
    <row r="95" customHeight="1" spans="1:6">
      <c r="A95" s="24"/>
      <c r="B95" s="24"/>
      <c r="C95" s="25"/>
      <c r="D95" s="24"/>
      <c r="E95" s="24"/>
      <c r="F95" s="25"/>
    </row>
    <row r="96" customHeight="1" spans="1:6">
      <c r="A96" s="5"/>
      <c r="B96" s="5"/>
      <c r="C96" s="5"/>
      <c r="D96" s="5"/>
      <c r="E96" s="5"/>
      <c r="F96" s="5"/>
    </row>
  </sheetData>
  <mergeCells count="42">
    <mergeCell ref="A1:F1"/>
    <mergeCell ref="H1:O1"/>
    <mergeCell ref="B3:F3"/>
    <mergeCell ref="A8:F8"/>
    <mergeCell ref="A9:F9"/>
    <mergeCell ref="A13:F13"/>
    <mergeCell ref="A23:F23"/>
    <mergeCell ref="A29:F29"/>
    <mergeCell ref="C30:F30"/>
    <mergeCell ref="A31:F31"/>
    <mergeCell ref="C32:F32"/>
    <mergeCell ref="A33:E33"/>
    <mergeCell ref="A34:F34"/>
    <mergeCell ref="C35:F35"/>
    <mergeCell ref="A36:E36"/>
    <mergeCell ref="A37:F37"/>
    <mergeCell ref="C38:F38"/>
    <mergeCell ref="A39:F39"/>
    <mergeCell ref="C40:F40"/>
    <mergeCell ref="A41:F41"/>
    <mergeCell ref="C42:F42"/>
    <mergeCell ref="A43:F43"/>
    <mergeCell ref="C44:F44"/>
    <mergeCell ref="A45:F45"/>
    <mergeCell ref="A59:F59"/>
    <mergeCell ref="A76:F76"/>
    <mergeCell ref="A82:F82"/>
    <mergeCell ref="A94:F94"/>
    <mergeCell ref="A95:B95"/>
    <mergeCell ref="D95:E95"/>
    <mergeCell ref="A96:F96"/>
    <mergeCell ref="A4:A5"/>
    <mergeCell ref="A6:A7"/>
    <mergeCell ref="A14:A16"/>
    <mergeCell ref="A17:A19"/>
    <mergeCell ref="A20:A22"/>
    <mergeCell ref="B14:B16"/>
    <mergeCell ref="B17:B19"/>
    <mergeCell ref="B20:B22"/>
    <mergeCell ref="H2:O15"/>
    <mergeCell ref="B4:F5"/>
    <mergeCell ref="B6:F7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6"/>
  <sheetViews>
    <sheetView workbookViewId="0">
      <selection activeCell="A1" sqref="$A1:$XFD1048576"/>
    </sheetView>
  </sheetViews>
  <sheetFormatPr defaultColWidth="9" defaultRowHeight="27" customHeight="1"/>
  <cols>
    <col min="1" max="1" width="15.8909090909091" customWidth="1"/>
    <col min="2" max="2" width="19.6636363636364" customWidth="1"/>
    <col min="3" max="3" width="18" customWidth="1"/>
    <col min="4" max="4" width="19.4454545454545" customWidth="1"/>
    <col min="5" max="5" width="16.2181818181818" customWidth="1"/>
    <col min="6" max="6" width="20.7818181818182" customWidth="1"/>
  </cols>
  <sheetData>
    <row r="1" customHeight="1" spans="1:15">
      <c r="A1" s="1"/>
      <c r="B1" s="1"/>
      <c r="C1" s="1"/>
      <c r="D1" s="1"/>
      <c r="E1" s="1"/>
      <c r="F1" s="1"/>
      <c r="H1" s="2"/>
      <c r="I1" s="2"/>
      <c r="J1" s="2"/>
      <c r="K1" s="2"/>
      <c r="L1" s="2"/>
      <c r="M1" s="2"/>
      <c r="N1" s="2"/>
      <c r="O1" s="2"/>
    </row>
    <row r="2" customHeight="1" spans="1:15">
      <c r="H2" s="3"/>
      <c r="I2" s="3"/>
      <c r="J2" s="3"/>
      <c r="K2" s="3"/>
      <c r="L2" s="3"/>
      <c r="M2" s="3"/>
      <c r="N2" s="3"/>
      <c r="O2" s="3"/>
    </row>
    <row r="3" ht="42" customHeight="1" spans="1:15">
      <c r="A3" s="4"/>
      <c r="B3" s="4"/>
      <c r="C3" s="4"/>
      <c r="D3" s="4"/>
      <c r="E3" s="4"/>
      <c r="F3" s="4"/>
      <c r="H3" s="3"/>
      <c r="I3" s="3"/>
      <c r="J3" s="3"/>
      <c r="K3" s="3"/>
      <c r="L3" s="3"/>
      <c r="M3" s="3"/>
      <c r="N3" s="3"/>
      <c r="O3" s="3"/>
    </row>
    <row r="4" ht="42" customHeight="1" spans="1:15">
      <c r="A4" s="4"/>
      <c r="B4" s="4"/>
      <c r="C4" s="4"/>
      <c r="D4" s="4"/>
      <c r="E4" s="4"/>
      <c r="F4" s="4"/>
      <c r="H4" s="3"/>
      <c r="I4" s="3"/>
      <c r="J4" s="3"/>
      <c r="K4" s="3"/>
      <c r="L4" s="3"/>
      <c r="M4" s="3"/>
      <c r="N4" s="3"/>
      <c r="O4" s="3"/>
    </row>
    <row r="5" ht="42" customHeight="1" spans="1:15">
      <c r="A5" s="4"/>
      <c r="B5" s="4"/>
      <c r="C5" s="4"/>
      <c r="D5" s="4"/>
      <c r="E5" s="4"/>
      <c r="F5" s="4"/>
      <c r="H5" s="3"/>
      <c r="I5" s="3"/>
      <c r="J5" s="3"/>
      <c r="K5" s="3"/>
      <c r="L5" s="3"/>
      <c r="M5" s="3"/>
      <c r="N5" s="3"/>
      <c r="O5" s="3"/>
    </row>
    <row r="6" ht="42" customHeight="1" spans="1:15">
      <c r="A6" s="4"/>
      <c r="B6" s="4"/>
      <c r="C6" s="4"/>
      <c r="D6" s="4"/>
      <c r="E6" s="4"/>
      <c r="F6" s="4"/>
      <c r="H6" s="3"/>
      <c r="I6" s="3"/>
      <c r="J6" s="3"/>
      <c r="K6" s="3"/>
      <c r="L6" s="3"/>
      <c r="M6" s="3"/>
      <c r="N6" s="3"/>
      <c r="O6" s="3"/>
    </row>
    <row r="7" ht="42" customHeight="1" spans="1:15">
      <c r="A7" s="4"/>
      <c r="B7" s="4"/>
      <c r="C7" s="4"/>
      <c r="D7" s="4"/>
      <c r="E7" s="4"/>
      <c r="F7" s="4"/>
      <c r="H7" s="3"/>
      <c r="I7" s="3"/>
      <c r="J7" s="3"/>
      <c r="K7" s="3"/>
      <c r="L7" s="3"/>
      <c r="M7" s="3"/>
      <c r="N7" s="3"/>
      <c r="O7" s="3"/>
    </row>
    <row r="8" customHeight="1" spans="1:15">
      <c r="A8" s="5"/>
      <c r="B8" s="5"/>
      <c r="C8" s="5"/>
      <c r="D8" s="5"/>
      <c r="E8" s="5"/>
      <c r="F8" s="5"/>
      <c r="H8" s="3"/>
      <c r="I8" s="3"/>
      <c r="J8" s="3"/>
      <c r="K8" s="3"/>
      <c r="L8" s="3"/>
      <c r="M8" s="3"/>
      <c r="N8" s="3"/>
      <c r="O8" s="3"/>
    </row>
    <row r="9" customHeight="1" spans="1:15">
      <c r="A9" s="6"/>
      <c r="B9" s="6"/>
      <c r="C9" s="6"/>
      <c r="D9" s="6"/>
      <c r="E9" s="6"/>
      <c r="F9" s="6"/>
      <c r="H9" s="3"/>
      <c r="I9" s="3"/>
      <c r="J9" s="3"/>
      <c r="K9" s="3"/>
      <c r="L9" s="3"/>
      <c r="M9" s="3"/>
      <c r="N9" s="3"/>
      <c r="O9" s="3"/>
    </row>
    <row r="10" customHeight="1" spans="1:15">
      <c r="A10" s="7"/>
      <c r="B10" s="7"/>
      <c r="C10" s="8"/>
      <c r="D10" s="8"/>
      <c r="E10" s="8"/>
      <c r="F10" s="8"/>
      <c r="H10" s="3"/>
      <c r="I10" s="3"/>
      <c r="J10" s="3"/>
      <c r="K10" s="3"/>
      <c r="L10" s="3"/>
      <c r="M10" s="3"/>
      <c r="N10" s="3"/>
      <c r="O10" s="3"/>
    </row>
    <row r="11" customHeight="1" spans="1:15">
      <c r="A11" s="7"/>
      <c r="B11" s="7"/>
      <c r="C11" s="8"/>
      <c r="D11" s="8"/>
      <c r="E11" s="8"/>
      <c r="F11" s="8"/>
      <c r="H11" s="3"/>
      <c r="I11" s="3"/>
      <c r="J11" s="3"/>
      <c r="K11" s="3"/>
      <c r="L11" s="3"/>
      <c r="M11" s="3"/>
      <c r="N11" s="3"/>
      <c r="O11" s="3"/>
    </row>
    <row r="12" customHeight="1" spans="1:15">
      <c r="A12" s="7"/>
      <c r="B12" s="7"/>
      <c r="C12" s="8"/>
      <c r="D12" s="8"/>
      <c r="E12" s="8"/>
      <c r="F12" s="8"/>
      <c r="H12" s="3"/>
      <c r="I12" s="3"/>
      <c r="J12" s="3"/>
      <c r="K12" s="3"/>
      <c r="L12" s="3"/>
      <c r="M12" s="3"/>
      <c r="N12" s="3"/>
      <c r="O12" s="3"/>
    </row>
    <row r="13" customHeight="1" spans="1:15">
      <c r="A13" s="5"/>
      <c r="B13" s="5"/>
      <c r="C13" s="5"/>
      <c r="D13" s="5"/>
      <c r="E13" s="5"/>
      <c r="F13" s="5"/>
      <c r="H13" s="3"/>
      <c r="I13" s="3"/>
      <c r="J13" s="3"/>
      <c r="K13" s="3"/>
      <c r="L13" s="3"/>
      <c r="M13" s="3"/>
      <c r="N13" s="3"/>
      <c r="O13" s="3"/>
    </row>
    <row r="14" customHeight="1" spans="1:15">
      <c r="A14" s="4"/>
      <c r="B14" s="4"/>
      <c r="H14" s="3"/>
      <c r="I14" s="3"/>
      <c r="J14" s="3"/>
      <c r="K14" s="3"/>
      <c r="L14" s="3"/>
      <c r="M14" s="3"/>
      <c r="N14" s="3"/>
      <c r="O14" s="3"/>
    </row>
    <row r="15" customHeight="1" spans="1:15">
      <c r="A15" s="4"/>
      <c r="B15" s="4"/>
      <c r="H15" s="3"/>
      <c r="I15" s="3"/>
      <c r="J15" s="3"/>
      <c r="K15" s="3"/>
      <c r="L15" s="3"/>
      <c r="M15" s="3"/>
      <c r="N15" s="3"/>
      <c r="O15" s="3"/>
    </row>
    <row r="16" customHeight="1" spans="1:15">
      <c r="A16" s="4"/>
      <c r="B16" s="4"/>
    </row>
    <row r="17" customHeight="1" spans="1:6">
      <c r="A17" s="4"/>
      <c r="B17" s="4"/>
    </row>
    <row r="18" customHeight="1" spans="1:6">
      <c r="A18" s="4"/>
      <c r="B18" s="4"/>
    </row>
    <row r="19" customHeight="1" spans="1:6">
      <c r="A19" s="4"/>
      <c r="B19" s="4"/>
    </row>
    <row r="20" customHeight="1" spans="1:6">
      <c r="A20" s="4"/>
      <c r="B20" s="4"/>
    </row>
    <row r="21" customHeight="1" spans="1:6">
      <c r="A21" s="4"/>
      <c r="B21" s="4"/>
    </row>
    <row r="22" customHeight="1" spans="1:6">
      <c r="A22" s="4"/>
      <c r="B22" s="4"/>
    </row>
    <row r="23" customHeight="1" spans="1:6">
      <c r="A23" s="5"/>
      <c r="B23" s="5"/>
      <c r="C23" s="5"/>
      <c r="D23" s="5"/>
      <c r="E23" s="5"/>
      <c r="F23" s="5"/>
    </row>
    <row r="25" customHeight="1" spans="1:6">
      <c r="A25" s="8"/>
      <c r="B25" s="8"/>
    </row>
    <row r="29" customHeight="1" spans="1:6">
      <c r="A29" s="5"/>
      <c r="B29" s="5"/>
      <c r="C29" s="5"/>
      <c r="D29" s="5"/>
      <c r="E29" s="5"/>
      <c r="F29" s="5"/>
    </row>
    <row r="30" customHeight="1" spans="1:6">
      <c r="C30" s="9"/>
      <c r="D30" s="9"/>
      <c r="E30" s="9"/>
      <c r="F30" s="9"/>
    </row>
    <row r="31" customHeight="1" spans="1:6">
      <c r="A31" s="5"/>
      <c r="B31" s="5"/>
      <c r="C31" s="5"/>
      <c r="D31" s="5"/>
      <c r="E31" s="5"/>
      <c r="F31" s="5"/>
    </row>
    <row r="32" customHeight="1" spans="1:6">
      <c r="C32" s="9"/>
      <c r="D32" s="9"/>
      <c r="E32" s="9"/>
      <c r="F32" s="9"/>
    </row>
    <row r="33" customHeight="1" spans="1:6">
      <c r="A33" s="10"/>
      <c r="B33" s="10"/>
      <c r="C33" s="10"/>
      <c r="D33" s="10"/>
      <c r="E33" s="10"/>
    </row>
    <row r="34" customHeight="1" spans="1:6">
      <c r="A34" s="5"/>
      <c r="B34" s="5"/>
      <c r="C34" s="5"/>
      <c r="D34" s="5"/>
      <c r="E34" s="5"/>
      <c r="F34" s="5"/>
    </row>
    <row r="35" customHeight="1" spans="1:6">
      <c r="C35" s="9"/>
      <c r="D35" s="9"/>
      <c r="E35" s="9"/>
      <c r="F35" s="9"/>
    </row>
    <row r="36" customHeight="1" spans="1:6">
      <c r="A36" s="11"/>
      <c r="B36" s="11"/>
      <c r="C36" s="11"/>
      <c r="D36" s="11"/>
      <c r="E36" s="11"/>
    </row>
    <row r="37" customHeight="1" spans="1:6">
      <c r="A37" s="5"/>
      <c r="B37" s="5"/>
      <c r="C37" s="5"/>
      <c r="D37" s="5"/>
      <c r="E37" s="5"/>
      <c r="F37" s="5"/>
    </row>
    <row r="38" customHeight="1" spans="1:6">
      <c r="C38" s="9"/>
      <c r="D38" s="9"/>
      <c r="E38" s="9"/>
      <c r="F38" s="9"/>
    </row>
    <row r="39" customHeight="1" spans="1:6">
      <c r="A39" s="6"/>
      <c r="B39" s="6"/>
      <c r="C39" s="6"/>
      <c r="D39" s="6"/>
      <c r="E39" s="6"/>
      <c r="F39" s="6"/>
    </row>
    <row r="40" customHeight="1" spans="1:6">
      <c r="A40" s="8"/>
      <c r="B40" s="8"/>
      <c r="C40" s="12"/>
      <c r="D40" s="12"/>
      <c r="E40" s="12"/>
      <c r="F40" s="12"/>
    </row>
    <row r="41" customHeight="1" spans="1:6">
      <c r="A41" s="5"/>
      <c r="B41" s="5"/>
      <c r="C41" s="5"/>
      <c r="D41" s="5"/>
      <c r="E41" s="5"/>
      <c r="F41" s="5"/>
    </row>
    <row r="42" customHeight="1" spans="1:6">
      <c r="C42" s="9"/>
      <c r="D42" s="9"/>
      <c r="E42" s="9"/>
      <c r="F42" s="9"/>
    </row>
    <row r="43" customHeight="1" spans="1:6">
      <c r="A43" s="5"/>
      <c r="B43" s="5"/>
      <c r="C43" s="5"/>
      <c r="D43" s="5"/>
      <c r="E43" s="5"/>
      <c r="F43" s="5"/>
    </row>
    <row r="44" customHeight="1" spans="1:6">
      <c r="C44" s="9"/>
      <c r="D44" s="9"/>
      <c r="E44" s="9"/>
      <c r="F44" s="9"/>
    </row>
    <row r="45" ht="28" customHeight="1" spans="1:6">
      <c r="A45" s="13"/>
      <c r="B45" s="13"/>
      <c r="C45" s="13"/>
      <c r="D45" s="13"/>
      <c r="E45" s="13"/>
      <c r="F45" s="13"/>
    </row>
    <row r="46" customHeight="1" spans="1:6">
      <c r="A46" s="14"/>
      <c r="B46" s="14"/>
      <c r="C46" s="14"/>
      <c r="D46" s="14"/>
      <c r="E46" s="14"/>
      <c r="F46" s="14"/>
    </row>
    <row r="47" customHeight="1" spans="1:6">
      <c r="A47" s="14"/>
      <c r="B47" s="14"/>
      <c r="C47" s="14"/>
      <c r="D47" s="14"/>
      <c r="E47" s="15"/>
      <c r="F47" s="14"/>
    </row>
    <row r="48" customHeight="1" spans="1:6">
      <c r="A48" s="14"/>
      <c r="B48" s="14"/>
      <c r="C48" s="14"/>
      <c r="D48" s="14"/>
      <c r="E48" s="15"/>
      <c r="F48" s="14"/>
    </row>
    <row r="49" customHeight="1" spans="1:6">
      <c r="A49" s="14"/>
      <c r="B49" s="14"/>
      <c r="C49" s="14"/>
      <c r="D49" s="14"/>
      <c r="E49" s="15"/>
      <c r="F49" s="14"/>
    </row>
    <row r="50" customHeight="1" spans="1:6">
      <c r="A50" s="14"/>
      <c r="B50" s="14"/>
      <c r="C50" s="14"/>
      <c r="D50" s="14"/>
      <c r="E50" s="15"/>
      <c r="F50" s="14"/>
    </row>
    <row r="51" customHeight="1" spans="1:6">
      <c r="A51" s="14"/>
      <c r="B51" s="14"/>
      <c r="C51" s="14"/>
      <c r="D51" s="14"/>
      <c r="E51" s="15"/>
      <c r="F51" s="14"/>
    </row>
    <row r="52" customHeight="1" spans="1:6">
      <c r="A52" s="14"/>
      <c r="B52" s="14"/>
      <c r="C52" s="14"/>
      <c r="D52" s="14"/>
      <c r="E52" s="15"/>
      <c r="F52" s="14"/>
    </row>
    <row r="53" customHeight="1" spans="1:6">
      <c r="A53" s="14"/>
      <c r="B53" s="14"/>
      <c r="C53" s="14"/>
      <c r="D53" s="14"/>
      <c r="E53" s="15"/>
      <c r="F53" s="14"/>
    </row>
    <row r="54" customHeight="1" spans="1:6">
      <c r="A54" s="14"/>
      <c r="B54" s="14"/>
      <c r="C54" s="14"/>
      <c r="D54" s="14"/>
      <c r="E54" s="15"/>
      <c r="F54" s="14"/>
    </row>
    <row r="55" customHeight="1" spans="1:6">
      <c r="A55" s="14"/>
      <c r="B55" s="14"/>
      <c r="C55" s="14"/>
      <c r="D55" s="14"/>
      <c r="E55" s="15"/>
      <c r="F55" s="14"/>
    </row>
    <row r="56" customHeight="1" spans="1:6">
      <c r="A56" s="14"/>
      <c r="B56" s="14"/>
      <c r="C56" s="16"/>
      <c r="D56" s="14"/>
      <c r="E56" s="15"/>
      <c r="F56" s="14"/>
    </row>
    <row r="57" customHeight="1" spans="1:6">
      <c r="A57" s="14"/>
      <c r="B57" s="14"/>
      <c r="C57" s="14"/>
      <c r="D57" s="14"/>
      <c r="E57" s="14"/>
      <c r="F57" s="14"/>
    </row>
    <row r="58" customHeight="1" spans="1:6">
      <c r="A58" s="14"/>
      <c r="B58" s="14"/>
      <c r="C58" s="14"/>
      <c r="D58" s="14"/>
      <c r="E58" s="15"/>
      <c r="F58" s="14"/>
    </row>
    <row r="59" customHeight="1" spans="1:6">
      <c r="A59" s="17"/>
      <c r="B59" s="18"/>
      <c r="C59" s="18"/>
      <c r="D59" s="18"/>
      <c r="E59" s="18"/>
      <c r="F59" s="18"/>
    </row>
    <row r="60" customHeight="1" spans="1:6">
      <c r="A60" s="19"/>
      <c r="B60" s="19"/>
      <c r="C60" s="19"/>
      <c r="D60" s="19"/>
      <c r="E60" s="19"/>
      <c r="F60" s="19"/>
    </row>
    <row r="61" customHeight="1" spans="1:6">
      <c r="A61" s="19"/>
      <c r="B61" s="19"/>
      <c r="C61" s="19"/>
      <c r="D61" s="19"/>
      <c r="E61" s="20"/>
      <c r="F61" s="19"/>
    </row>
    <row r="62" customHeight="1" spans="1:6">
      <c r="A62" s="19"/>
      <c r="B62" s="19"/>
      <c r="C62" s="19"/>
      <c r="D62" s="19"/>
      <c r="E62" s="20"/>
      <c r="F62" s="19"/>
    </row>
    <row r="63" customHeight="1" spans="1:6">
      <c r="A63" s="19"/>
      <c r="B63" s="19"/>
      <c r="C63" s="19"/>
      <c r="D63" s="19"/>
      <c r="E63" s="20"/>
      <c r="F63" s="19"/>
    </row>
    <row r="64" customHeight="1" spans="1:6">
      <c r="A64" s="19"/>
      <c r="B64" s="19"/>
      <c r="C64" s="19"/>
      <c r="D64" s="19"/>
      <c r="E64" s="20"/>
      <c r="F64" s="19"/>
    </row>
    <row r="65" customHeight="1" spans="1:6">
      <c r="A65" s="19"/>
      <c r="B65" s="19"/>
      <c r="C65" s="19"/>
      <c r="D65" s="19"/>
      <c r="E65" s="20"/>
      <c r="F65" s="19"/>
    </row>
    <row r="66" customHeight="1" spans="1:6">
      <c r="A66" s="19"/>
      <c r="B66" s="19"/>
      <c r="C66" s="19"/>
      <c r="D66" s="19"/>
      <c r="E66" s="20"/>
      <c r="F66" s="19"/>
    </row>
    <row r="67" customHeight="1" spans="1:6">
      <c r="A67" s="19"/>
      <c r="B67" s="19"/>
      <c r="C67" s="19"/>
      <c r="D67" s="19"/>
      <c r="E67" s="20"/>
      <c r="F67" s="19"/>
    </row>
    <row r="68" customHeight="1" spans="1:6">
      <c r="A68" s="19"/>
      <c r="B68" s="19"/>
      <c r="C68" s="19"/>
      <c r="D68" s="19"/>
      <c r="E68" s="20"/>
      <c r="F68" s="19"/>
    </row>
    <row r="69" customHeight="1" spans="1:6">
      <c r="A69" s="19"/>
      <c r="B69" s="19"/>
      <c r="C69" s="19"/>
      <c r="D69" s="19"/>
      <c r="E69" s="20"/>
      <c r="F69" s="19"/>
    </row>
    <row r="70" customHeight="1" spans="1:6">
      <c r="A70" s="19"/>
      <c r="B70" s="19"/>
      <c r="C70" s="19"/>
      <c r="D70" s="19"/>
      <c r="E70" s="20"/>
      <c r="F70" s="19"/>
    </row>
    <row r="71" customHeight="1" spans="1:6">
      <c r="A71" s="19"/>
      <c r="B71" s="19"/>
      <c r="C71" s="21"/>
      <c r="D71" s="19"/>
      <c r="E71" s="20"/>
      <c r="F71" s="19"/>
    </row>
    <row r="72" customHeight="1" spans="1:6">
      <c r="A72" s="19"/>
      <c r="B72" s="19"/>
      <c r="C72" s="19"/>
      <c r="D72" s="19"/>
      <c r="E72" s="20"/>
      <c r="F72" s="19"/>
    </row>
    <row r="73" customHeight="1" spans="1:6">
      <c r="A73" s="19"/>
      <c r="B73" s="19"/>
      <c r="C73" s="19"/>
      <c r="D73" s="19"/>
      <c r="E73" s="20"/>
      <c r="F73" s="19"/>
    </row>
    <row r="74" customHeight="1" spans="1:6">
      <c r="A74" s="19"/>
      <c r="B74" s="19"/>
      <c r="C74" s="19"/>
      <c r="D74" s="19"/>
      <c r="E74" s="22"/>
      <c r="F74" s="19"/>
    </row>
    <row r="75" customHeight="1" spans="1:6">
      <c r="A75" s="19"/>
      <c r="B75" s="19"/>
      <c r="C75" s="19"/>
      <c r="D75" s="19"/>
      <c r="E75" s="19"/>
      <c r="F75" s="19"/>
    </row>
    <row r="76" customHeight="1" spans="1:6">
      <c r="A76" s="5"/>
      <c r="B76" s="5"/>
      <c r="C76" s="5"/>
      <c r="D76" s="5"/>
      <c r="E76" s="5"/>
      <c r="F76" s="5"/>
    </row>
    <row r="82" customHeight="1" spans="1:6">
      <c r="A82" s="5"/>
      <c r="B82" s="5"/>
      <c r="C82" s="5"/>
      <c r="D82" s="5"/>
      <c r="E82" s="5"/>
      <c r="F82" s="5"/>
    </row>
    <row r="94" customHeight="1" spans="1:6">
      <c r="A94" s="23"/>
      <c r="B94" s="23"/>
      <c r="C94" s="23"/>
      <c r="D94" s="23"/>
      <c r="E94" s="23"/>
      <c r="F94" s="23"/>
    </row>
    <row r="95" customHeight="1" spans="1:6">
      <c r="A95" s="24"/>
      <c r="B95" s="24"/>
      <c r="C95" s="25"/>
      <c r="D95" s="24"/>
      <c r="E95" s="24"/>
      <c r="F95" s="25"/>
    </row>
    <row r="96" customHeight="1" spans="1:6">
      <c r="A96" s="5"/>
      <c r="B96" s="5"/>
      <c r="C96" s="5"/>
      <c r="D96" s="5"/>
      <c r="E96" s="5"/>
      <c r="F96" s="5"/>
    </row>
  </sheetData>
  <mergeCells count="42">
    <mergeCell ref="A1:F1"/>
    <mergeCell ref="H1:O1"/>
    <mergeCell ref="B3:F3"/>
    <mergeCell ref="A8:F8"/>
    <mergeCell ref="A9:F9"/>
    <mergeCell ref="A13:F13"/>
    <mergeCell ref="A23:F23"/>
    <mergeCell ref="A29:F29"/>
    <mergeCell ref="C30:F30"/>
    <mergeCell ref="A31:F31"/>
    <mergeCell ref="C32:F32"/>
    <mergeCell ref="A33:E33"/>
    <mergeCell ref="A34:F34"/>
    <mergeCell ref="C35:F35"/>
    <mergeCell ref="A36:E36"/>
    <mergeCell ref="A37:F37"/>
    <mergeCell ref="C38:F38"/>
    <mergeCell ref="A39:F39"/>
    <mergeCell ref="C40:F40"/>
    <mergeCell ref="A41:F41"/>
    <mergeCell ref="C42:F42"/>
    <mergeCell ref="A43:F43"/>
    <mergeCell ref="C44:F44"/>
    <mergeCell ref="A45:F45"/>
    <mergeCell ref="A59:F59"/>
    <mergeCell ref="A76:F76"/>
    <mergeCell ref="A82:F82"/>
    <mergeCell ref="A94:F94"/>
    <mergeCell ref="A95:B95"/>
    <mergeCell ref="D95:E95"/>
    <mergeCell ref="A96:F96"/>
    <mergeCell ref="A4:A5"/>
    <mergeCell ref="A6:A7"/>
    <mergeCell ref="A14:A16"/>
    <mergeCell ref="A17:A19"/>
    <mergeCell ref="A20:A22"/>
    <mergeCell ref="B14:B16"/>
    <mergeCell ref="B17:B19"/>
    <mergeCell ref="B20:B22"/>
    <mergeCell ref="H2:O15"/>
    <mergeCell ref="B4:F5"/>
    <mergeCell ref="B6:F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900F</vt:lpstr>
      <vt:lpstr>Sheet3</vt:lpstr>
      <vt:lpstr>Sheet4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</cp:lastModifiedBy>
  <dcterms:created xsi:type="dcterms:W3CDTF">2023-06-26T00:45:00Z</dcterms:created>
  <dcterms:modified xsi:type="dcterms:W3CDTF">2026-03-16T09:08:55Z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5E9354FC53CA45B38A5B9FE694321332_12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